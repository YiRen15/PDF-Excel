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0" windowHeight="9040"/>
  </bookViews>
  <sheets>
    <sheet name="表头整理建议" sheetId="1" r:id="rId1"/>
    <sheet name="报告类型判定规则" sheetId="2" state="hidden" r:id="rId2"/>
    <sheet name="标注说明" sheetId="3" r:id="rId3"/>
  </sheets>
  <definedNames>
    <definedName name="_xlnm._FilterDatabase" localSheetId="0" hidden="1">表头整理建议!$A$2:$AI$42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D35DD931F1FD40E38433426B647152D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595540" y="1257300"/>
          <a:ext cx="1805940" cy="4565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02E34AC624D74159A6B77512B59E6C0F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5965745" y="2119630"/>
          <a:ext cx="1520825" cy="72326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<sst xmlns="http://schemas.openxmlformats.org/spreadsheetml/2006/main" count="1059" uniqueCount="221">
  <si>
    <t>SUBJID</t>
  </si>
  <si>
    <t>ECGSTDAT</t>
  </si>
  <si>
    <t>ECGDURH</t>
  </si>
  <si>
    <t>ECGDURH_U</t>
  </si>
  <si>
    <t>ECGDURM</t>
  </si>
  <si>
    <t>ECGDURM_U</t>
  </si>
  <si>
    <t>ECGORRES</t>
  </si>
  <si>
    <t>ECGORRES_OPT</t>
  </si>
  <si>
    <t>ECGHR</t>
  </si>
  <si>
    <t>ECGHR_U</t>
  </si>
  <si>
    <t>ECGHRMAX</t>
  </si>
  <si>
    <t>ECGHRMAX_U</t>
  </si>
  <si>
    <t>ECGHRMIN</t>
  </si>
  <si>
    <t>ECGHRMIN_U</t>
  </si>
  <si>
    <t>ECGRR</t>
  </si>
  <si>
    <t>ECGRR_U</t>
  </si>
  <si>
    <t>ECGAFBURD</t>
  </si>
  <si>
    <t>ECGAFBURD_U</t>
  </si>
  <si>
    <t>ECGAFDURH</t>
  </si>
  <si>
    <t>ECGAFDURH_U</t>
  </si>
  <si>
    <t>ECGAFDUR</t>
  </si>
  <si>
    <t>ECGAFDUR_U</t>
  </si>
  <si>
    <t>ECGATBURD</t>
  </si>
  <si>
    <t>ECGATBURD_U</t>
  </si>
  <si>
    <t>ECGATDURH</t>
  </si>
  <si>
    <t>ECGATDURH_U</t>
  </si>
  <si>
    <t>ECGATDUR</t>
  </si>
  <si>
    <t>ECGATDUR_U</t>
  </si>
  <si>
    <t>ECGATDURS</t>
  </si>
  <si>
    <t>ECGATDURS_U</t>
  </si>
  <si>
    <t>异常情况</t>
  </si>
  <si>
    <t>受试者编号</t>
  </si>
  <si>
    <t>开始监测日期</t>
  </si>
  <si>
    <t>监测时长</t>
  </si>
  <si>
    <t>监测时长_单位</t>
  </si>
  <si>
    <t>监测时长（分）</t>
  </si>
  <si>
    <t>监测时长（分）_单</t>
  </si>
  <si>
    <t>检查结果</t>
  </si>
  <si>
    <t>检查结果_选择项</t>
  </si>
  <si>
    <t>平均心率</t>
  </si>
  <si>
    <t>平均心率_单位</t>
  </si>
  <si>
    <t>最大心率</t>
  </si>
  <si>
    <t>最大心率_单位</t>
  </si>
  <si>
    <t>最小心率</t>
  </si>
  <si>
    <t>最小心率_单位</t>
  </si>
  <si>
    <t>最长RR间期</t>
  </si>
  <si>
    <t>最长RR间期_单位</t>
  </si>
  <si>
    <t>房颤负荷</t>
  </si>
  <si>
    <t>房颤负荷_单位</t>
  </si>
  <si>
    <t>房颤负荷最长持续时间（小时）</t>
  </si>
  <si>
    <t>房颤负荷最长持续时间（小时）_单位</t>
  </si>
  <si>
    <t>房颤负荷最长持续时间</t>
  </si>
  <si>
    <t>房颤负荷最长持续时间_单位</t>
  </si>
  <si>
    <t>规则的房性心动过速负荷</t>
  </si>
  <si>
    <t>规则的房性心动过速负荷_单位</t>
  </si>
  <si>
    <t>规则的房性心动过速负荷最长持续时间（小时）</t>
  </si>
  <si>
    <t>规则的房性心动过速负荷最长持续时间（小时）_单位</t>
  </si>
  <si>
    <t>规则的房性心动过速负荷最长持续时间</t>
  </si>
  <si>
    <t>规则的房性心动过速负荷最长持续时间_单位</t>
  </si>
  <si>
    <t>规则的房性心动过速负荷最长持续时间（秒）</t>
  </si>
  <si>
    <t>规则的房性心动过速负荷最长持续时间（秒）_单位</t>
  </si>
  <si>
    <t>差异标注说明</t>
  </si>
  <si>
    <t>问题</t>
  </si>
  <si>
    <t>01005</t>
  </si>
  <si>
    <t>2026-06-23 08:39</t>
  </si>
  <si>
    <t>24</t>
  </si>
  <si>
    <t>小时</t>
  </si>
  <si>
    <t>05</t>
  </si>
  <si>
    <t>分</t>
  </si>
  <si>
    <t>[1]</t>
  </si>
  <si>
    <t>窦性心律，无心房颤动、规则的房性心动过速</t>
  </si>
  <si>
    <t>bpm</t>
  </si>
  <si>
    <t>ms</t>
  </si>
  <si>
    <t/>
  </si>
  <si>
    <t>01009</t>
  </si>
  <si>
    <t>2026-07-01 08:41</t>
  </si>
  <si>
    <t>20</t>
  </si>
  <si>
    <t>[2]</t>
  </si>
  <si>
    <t>房颤</t>
  </si>
  <si>
    <t>%</t>
  </si>
  <si>
    <t>01012</t>
  </si>
  <si>
    <t>2026-06-12 14:25</t>
  </si>
  <si>
    <t>03</t>
  </si>
  <si>
    <t>小于1</t>
  </si>
  <si>
    <t>01023</t>
  </si>
  <si>
    <t>2026-05-16 07:20</t>
  </si>
  <si>
    <t>26</t>
  </si>
  <si>
    <t>/</t>
  </si>
  <si>
    <t>平均心率63 bpm，总心搏数 94695次.最慢心率53 bpm，发生于05-16 21:30.最快心率114 bpm，发生于05-17 06:54。大于2000 ms的长R-R间期共0次，最长R-R间期1220 ms，发生于05-16 18:58。结论:1、基础心律不明，不排除心房颤动,起搏器植入者，考虑为CCM装置。2、房性早搏，短阵房性心动过速(房早共3149次，其中单发2226次，其中成</t>
  </si>
  <si>
    <t>应该判断为窦律</t>
  </si>
  <si>
    <t>起搏心律，识别不出窦律</t>
  </si>
  <si>
    <t>2026-07-23 20:35</t>
  </si>
  <si>
    <t>33</t>
  </si>
  <si>
    <t>平均心率62 bpm，总心搏数 91314次.最慢心率53 bpm，发生于07-24 08:28.最快心率117 bpm，发生于07-24 08:27。大于2000 ms的长R-R间期共0次，最长R-R间期1230 ms，发生于07-24 09:19。结论:1、起搏心电图2、房性早搏，短阵房性心动过速(房早共426次，其中单发330次，其中成对25组，房性二联律2阵，房性三联律4阵，短阵房速9阵，</t>
  </si>
  <si>
    <t>2026-05-22 19:21</t>
  </si>
  <si>
    <t>23</t>
  </si>
  <si>
    <t>50</t>
  </si>
  <si>
    <t>01032</t>
  </si>
  <si>
    <t>2026-08-03 05:52</t>
  </si>
  <si>
    <t>58</t>
  </si>
  <si>
    <t>[3]</t>
  </si>
  <si>
    <t>规则的房性心动过速</t>
  </si>
  <si>
    <t>报告房速负荷需要人工检查</t>
  </si>
  <si>
    <t>秒</t>
  </si>
  <si>
    <t>窦律</t>
  </si>
  <si>
    <t>识别错误
这里的房扑不纳入检查结果判断</t>
  </si>
  <si>
    <t>01080</t>
  </si>
  <si>
    <t>2026-08-03 00:49</t>
  </si>
  <si>
    <t>22</t>
  </si>
  <si>
    <t>30</t>
  </si>
  <si>
    <t>01081</t>
  </si>
  <si>
    <t>2026-06-29 08:26</t>
  </si>
  <si>
    <t>45</t>
  </si>
  <si>
    <t>01088</t>
  </si>
  <si>
    <t>2026-06-03 10:43</t>
  </si>
  <si>
    <t>25</t>
  </si>
  <si>
    <t>04</t>
  </si>
  <si>
    <t>01106</t>
  </si>
  <si>
    <t>2026-07-07 19:44</t>
  </si>
  <si>
    <t>规则房性心动过速
这里是≥30s房速</t>
  </si>
  <si>
    <t>房速未识别</t>
  </si>
  <si>
    <t>01113</t>
  </si>
  <si>
    <t>2026-06-22 05:57</t>
  </si>
  <si>
    <t>[2,3]</t>
  </si>
  <si>
    <t>房颤,规则的房性心动过速</t>
  </si>
  <si>
    <t>01117</t>
  </si>
  <si>
    <t>2026-07-08 11:55</t>
  </si>
  <si>
    <t>01190</t>
  </si>
  <si>
    <t>2026-06-30 13:57</t>
  </si>
  <si>
    <t>56</t>
  </si>
  <si>
    <t>01203</t>
  </si>
  <si>
    <t>2026-05-27 22:21</t>
  </si>
  <si>
    <t>31</t>
  </si>
  <si>
    <t>2026-06-15 01:09</t>
  </si>
  <si>
    <t>21</t>
  </si>
  <si>
    <t>27</t>
  </si>
  <si>
    <t>2026-06-18 13:07</t>
  </si>
  <si>
    <t>18</t>
  </si>
  <si>
    <t>49</t>
  </si>
  <si>
    <t>2026-06-22 19:40</t>
  </si>
  <si>
    <t>10</t>
  </si>
  <si>
    <t>01210</t>
  </si>
  <si>
    <t>2026-07-17 07:49</t>
  </si>
  <si>
    <t>01221</t>
  </si>
  <si>
    <t>2026-05-27 05:18</t>
  </si>
  <si>
    <t>44</t>
  </si>
  <si>
    <t>01227</t>
  </si>
  <si>
    <t>2026-06-01 14:26</t>
  </si>
  <si>
    <t>01245</t>
  </si>
  <si>
    <t>2026-05-11 06:32</t>
  </si>
  <si>
    <t>57</t>
  </si>
  <si>
    <t>只有房颤，无[ 3 ]</t>
  </si>
  <si>
    <t>识别错误
房扑不纳入检查结果判断</t>
  </si>
  <si>
    <t>01269</t>
  </si>
  <si>
    <t>2026-05-13 09:13</t>
  </si>
  <si>
    <t>01287</t>
  </si>
  <si>
    <t>2026-08-07 20:33</t>
  </si>
  <si>
    <t>39</t>
  </si>
  <si>
    <t>01301</t>
  </si>
  <si>
    <t>2026-08-03 06:18</t>
  </si>
  <si>
    <t>19</t>
  </si>
  <si>
    <t>2026-07-06 06:26</t>
  </si>
  <si>
    <t>13</t>
  </si>
  <si>
    <t>01324</t>
  </si>
  <si>
    <t>2026-06-08 17:15</t>
  </si>
  <si>
    <t>01337</t>
  </si>
  <si>
    <t>2026-06-24 21:03</t>
  </si>
  <si>
    <t>37</t>
  </si>
  <si>
    <t>01340</t>
  </si>
  <si>
    <t>2026-07-26 09:45</t>
  </si>
  <si>
    <t>01347</t>
  </si>
  <si>
    <t>2026-08-09 17:23</t>
  </si>
  <si>
    <t>PAF10025</t>
  </si>
  <si>
    <t>2026-05-22 08:10</t>
  </si>
  <si>
    <t>14</t>
  </si>
  <si>
    <t>2026-06-11 07:47</t>
  </si>
  <si>
    <t>2026-07-24 07:47</t>
  </si>
  <si>
    <t>房颤、房扑均有</t>
  </si>
  <si>
    <t>房扑未识别</t>
  </si>
  <si>
    <t>2026-06-23 07:32</t>
  </si>
  <si>
    <t>丛斌</t>
  </si>
  <si>
    <t>2026-07-10 18:22</t>
  </si>
  <si>
    <t>周淑兰</t>
  </si>
  <si>
    <t>2026-05-10 14:16</t>
  </si>
  <si>
    <t>ID=周淑兰 dt=2026-05-10 14:16
来源: 周淑兰_2026年05月10日 14时16分13秒.pdf
[持续时间差异] 房速持续(分): PDF=14 vs Excel=0 ——该报告G=[3]且房速最长持续14分(≥30s)符合【3】规则应纳入计算, 房速持续(分)应填 14分(0h14m0s), 不应为0
PDF结论: 平均心率59 bpm，总心搏数 85123次.最慢心率41 bpm，发生于05-11 11:09.最快心率126 bpm，发生于05-11 12:34。大于2000 ms的长R-R间期共6次，最长R-R间期2850 ms，发生于05-11 11:50。结论:1、窦性心律+异位心律2、阵发性室上性心动过速，呈突发突止，终止时致大于2000 ms的长R-R间期，共6次，最长R-R间期2850 ms(室</t>
  </si>
  <si>
    <t xml:space="preserve">时间没填进去
</t>
  </si>
  <si>
    <t>房速时长未识别</t>
  </si>
  <si>
    <t>2026-05-17 12:44</t>
  </si>
  <si>
    <t>07</t>
  </si>
  <si>
    <t>张秀敏</t>
  </si>
  <si>
    <t>2026-08-04 14:25</t>
  </si>
  <si>
    <t>11</t>
  </si>
  <si>
    <t>王岩梅</t>
  </si>
  <si>
    <t>2026-05-29 23:37</t>
  </si>
  <si>
    <t>黄光华</t>
  </si>
  <si>
    <t>2026-05-09 15:04</t>
  </si>
  <si>
    <t>检查结果
（多选项）</t>
  </si>
  <si>
    <t>这里需要判断此份报告属于哪种结果
具体规则如下：</t>
  </si>
  <si>
    <t>判定规则</t>
  </si>
  <si>
    <t>报告样式</t>
  </si>
  <si>
    <t>1、窦性心律，无心房颤动、规则的房性心动过速;</t>
  </si>
  <si>
    <t>结论文本中包含 “窦性心律”；
且 结论文本中不包含 “心房颤动”、“房颤”、“心房扑动”、“房扑”；
且 房速最长持续时间&lt; 30s</t>
  </si>
  <si>
    <t>✔</t>
  </si>
  <si>
    <t>2、房颤;</t>
  </si>
  <si>
    <t>结论文本中包含 “持续性房颤” 或 “阵发性房颤”</t>
  </si>
  <si>
    <t>3、规则的房性心动过速</t>
  </si>
  <si>
    <t xml:space="preserve">满足以下任一选项：
1、结论中包含”持续性房扑“或”阵发性房扑“；
2、结论中包含“房性心动过速” 或 “房速”，且房速最长持续时间≥ 30s；
</t>
  </si>
  <si>
    <t>若存在2个的判定结果，在检查结果处多选即可
（多选项里，最多只可能同时出现 2 个选项，永远不可能同时出现 3 个选项）</t>
  </si>
  <si>
    <t>第八版优化 不排除问题 差异标注说明</t>
  </si>
  <si>
    <t>颜色</t>
  </si>
  <si>
    <t>含义</t>
  </si>
  <si>
    <t>G列异常 - 检查结果判定有误</t>
  </si>
  <si>
    <t>数据矛盾/负荷差异 - 数据填写错误</t>
  </si>
  <si>
    <t>持续时间/基本参数差异</t>
  </si>
  <si>
    <t>差异详情:</t>
  </si>
  <si>
    <t>行6 (ID=01023, dt=2026-05-16 07:20)</t>
  </si>
  <si>
    <t>ID=01023 dt=2026-05-16 07:20
来源: 01023_2026年05月16日 07时20分28秒.pdf
[G列差异] 检查结果(G): PDF判定=[1] vs Excel=/ ——Excel该格为旧版占位符"/"(未填写), 按报告应判定为[1], 属录入漏填
PDF结论: 平均心率63 bpm，总心搏数 94695次.最慢心率53 bpm，发生于05-16 21:30.最快心率114 bpm，发生于05-17 06:54。大于2000 ms的长R-R间期共0次，最长R-R间期1220 ms，发生于05-16 18:58。结论:1、基础心律不明，不排除心房颤动,起搏器植入者，考虑为CCM装置。2、房性早搏，短阵房性心动过速(房早共3149次，其中单发2226次，其中成</t>
  </si>
  <si>
    <t>行7 (ID=01023, dt=2026-07-23 20:35)</t>
  </si>
  <si>
    <t>ID=01023 dt=2026-07-23 20:35
来源: 01023_2026年07月23日 20时35分13秒.pdf
[G列差异] 检查结果(G): PDF判定=[1] vs Excel=/ ——Excel该格为旧版占位符"/"(未填写), 按报告应判定为[1], 属录入漏填
PDF结论: 平均心率62 bpm，总心搏数 91314次.最慢心率53 bpm，发生于07-24 08:28.最快心率117 bpm，发生于07-24 08:27。大于2000 ms的长R-R间期共0次，最长R-R间期1230 ms，发生于07-24 09:19。结论:1、起搏心电图2、房性早搏，短阵房性心动过速(房早共426次，其中单发330次，其中成对25组，房性二联律2阵，房性三联律4阵，短阵房速9阵，</t>
  </si>
  <si>
    <t>行38 (ID=周淑兰, dt=2026-05-10 14:16)</t>
  </si>
  <si>
    <t>平均心率59 bpm，总心搏数 85123次.最慢心率41 bpm，发生于05-11 11:09.最快心率126 bpm，发生于05-11 12:34。大于2000 ms的长R-R间期共6次，最长R-R间期2850 ms，发生于05-11 11:50。结论:1、窦性心律+异位心律2、阵发性室上性心动过速，呈突发突止，终止时致大于2000 ms的长R-R间期，共6次，最长R-R间期2850 ms(室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</si>
</sst>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等线"/>
      <charset val="134"/>
      <scheme val="minor"/>
    </font>
    <font>
      <b/>
      <sz val="14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color indexed="8"/>
      <name val="等线"/>
      <charset val="134"/>
      <scheme val="minor"/>
    </font>
    <font>
      <i/>
      <sz val="11"/>
      <color theme="4" tint="-0.249977111117893"/>
      <name val="等线"/>
      <charset val="134"/>
      <scheme val="minor"/>
    </font>
    <font>
      <sz val="11"/>
      <color rgb="FF000000"/>
      <name val="等线"/>
      <charset val="134"/>
      <scheme val="minor"/>
    </font>
    <font>
      <i/>
      <sz val="11"/>
      <color theme="5" tint="-0.249977111117893"/>
      <name val="等线"/>
      <charset val="134"/>
      <scheme val="minor"/>
    </font>
    <font>
      <i/>
      <sz val="11"/>
      <color rgb="FFFF00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rgb="FFC6282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E0B2"/>
        <bgColor rgb="FFFFE0B2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00000"/>
        <bgColor rgb="FFC8E6C9"/>
      </patternFill>
    </fill>
    <fill>
      <patternFill patternType="solid">
        <fgColor theme="4" tint="-0.2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4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9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23" fillId="16" borderId="9" applyNumberFormat="0" applyAlignment="0" applyProtection="0">
      <alignment vertical="center"/>
    </xf>
    <xf numFmtId="0" fontId="24" fillId="17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</cellStyleXfs>
  <cellXfs count="45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 applyAlignment="1"/>
    <xf numFmtId="0" fontId="0" fillId="0" borderId="3" xfId="0" applyBorder="1" applyAlignment="1"/>
    <xf numFmtId="0" fontId="0" fillId="6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5" fillId="9" borderId="4" xfId="0" applyFont="1" applyFill="1" applyBorder="1" applyAlignment="1">
      <alignment vertical="center" wrapText="1"/>
    </xf>
    <xf numFmtId="0" fontId="8" fillId="10" borderId="5" xfId="0" applyFont="1" applyFill="1" applyBorder="1" applyAlignment="1">
      <alignment horizontal="center"/>
    </xf>
    <xf numFmtId="0" fontId="0" fillId="11" borderId="0" xfId="0" applyFill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8" fillId="10" borderId="5" xfId="0" applyFont="1" applyFill="1" applyBorder="1" applyAlignment="1">
      <alignment horizontal="center" vertical="center"/>
    </xf>
    <xf numFmtId="0" fontId="8" fillId="11" borderId="0" xfId="0" applyFont="1" applyFill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0" fillId="0" borderId="0" xfId="0" applyFill="1" applyAlignment="1">
      <alignment vertical="center"/>
    </xf>
    <xf numFmtId="0" fontId="10" fillId="7" borderId="4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left" vertical="center" wrapText="1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vertical="center"/>
    </xf>
    <xf numFmtId="0" fontId="0" fillId="12" borderId="0" xfId="0" applyFill="1" applyAlignment="1">
      <alignment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0" fillId="8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30</xdr:col>
      <xdr:colOff>1365250</xdr:colOff>
      <xdr:row>12</xdr:row>
      <xdr:rowOff>228600</xdr:rowOff>
    </xdr:from>
    <xdr:to>
      <xdr:col>30</xdr:col>
      <xdr:colOff>3575050</xdr:colOff>
      <xdr:row>12</xdr:row>
      <xdr:rowOff>1304925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649150" y="4927600"/>
          <a:ext cx="220980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1231900</xdr:colOff>
      <xdr:row>23</xdr:row>
      <xdr:rowOff>120650</xdr:rowOff>
    </xdr:from>
    <xdr:to>
      <xdr:col>31</xdr:col>
      <xdr:colOff>9525</xdr:colOff>
      <xdr:row>23</xdr:row>
      <xdr:rowOff>927100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515800" y="6394450"/>
          <a:ext cx="2587625" cy="806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1415415</xdr:colOff>
      <xdr:row>34</xdr:row>
      <xdr:rowOff>3810</xdr:rowOff>
    </xdr:from>
    <xdr:to>
      <xdr:col>31</xdr:col>
      <xdr:colOff>151130</xdr:colOff>
      <xdr:row>34</xdr:row>
      <xdr:rowOff>1353185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7699315" y="7357110"/>
          <a:ext cx="2545715" cy="134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58420</xdr:colOff>
      <xdr:row>37</xdr:row>
      <xdr:rowOff>401955</xdr:rowOff>
    </xdr:from>
    <xdr:to>
      <xdr:col>31</xdr:col>
      <xdr:colOff>2865120</xdr:colOff>
      <xdr:row>37</xdr:row>
      <xdr:rowOff>1402715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0152320" y="9253855"/>
          <a:ext cx="2806700" cy="1000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30</xdr:col>
      <xdr:colOff>834390</xdr:colOff>
      <xdr:row>8</xdr:row>
      <xdr:rowOff>240665</xdr:rowOff>
    </xdr:from>
    <xdr:to>
      <xdr:col>30</xdr:col>
      <xdr:colOff>3589020</xdr:colOff>
      <xdr:row>8</xdr:row>
      <xdr:rowOff>1471295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7118290" y="3377565"/>
          <a:ext cx="2754630" cy="12306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I42"/>
  <sheetViews>
    <sheetView tabSelected="1" zoomScale="55" zoomScaleNormal="55" workbookViewId="0">
      <selection activeCell="AH35" sqref="AH35"/>
    </sheetView>
  </sheetViews>
  <sheetFormatPr defaultColWidth="9" defaultRowHeight="14"/>
  <cols>
    <col min="1" max="1" width="11.5" style="8" customWidth="1"/>
    <col min="2" max="2" width="16.3333333333333" style="8" customWidth="1"/>
    <col min="3" max="3" width="18.6666666666667" style="8" customWidth="1"/>
    <col min="4" max="4" width="15.6666666666667" style="8" customWidth="1"/>
    <col min="5" max="5" width="20.8333333333333" style="8" customWidth="1"/>
    <col min="6" max="7" width="20.1666666666667" style="8" customWidth="1"/>
    <col min="8" max="8" width="43.5" style="8" customWidth="1"/>
    <col min="9" max="10" width="20.1666666666667" style="8" customWidth="1"/>
    <col min="11" max="11" width="10.3333333333333" style="8" customWidth="1"/>
    <col min="12" max="12" width="15.5" style="8" customWidth="1"/>
    <col min="13" max="13" width="9" style="8" customWidth="1"/>
    <col min="14" max="14" width="14.6666666666667" style="8" customWidth="1"/>
    <col min="15" max="15" width="9" style="8" customWidth="1"/>
    <col min="16" max="16" width="14.3333333333333" style="8" customWidth="1"/>
    <col min="17" max="17" width="13.1666666666667" style="8" customWidth="1"/>
    <col min="18" max="18" width="14.8333333333333" style="8" customWidth="1"/>
    <col min="19" max="19" width="13.6666666666667" style="8" customWidth="1"/>
    <col min="20" max="20" width="9" style="8" customWidth="1"/>
    <col min="21" max="21" width="13.1666666666667" style="8" customWidth="1"/>
    <col min="22" max="22" width="13.8333333333333" style="8" customWidth="1"/>
    <col min="23" max="23" width="20.5" style="8" customWidth="1"/>
    <col min="24" max="24" width="7.66666666666667" style="8" customWidth="1"/>
    <col min="25" max="25" width="19.8333333333333" style="8" customWidth="1"/>
    <col min="26" max="26" width="8.33333333333333" style="8" customWidth="1"/>
    <col min="27" max="27" width="24.1666666666667" style="8" customWidth="1"/>
    <col min="28" max="28" width="5.5" style="8" customWidth="1"/>
    <col min="29" max="29" width="22.6666666666667" style="8" customWidth="1"/>
    <col min="30" max="30" width="9.83333333333333" style="8" customWidth="1"/>
    <col min="31" max="31" width="50" style="8" customWidth="1"/>
    <col min="32" max="32" width="38.0916666666667" style="8" customWidth="1"/>
    <col min="33" max="33" width="30.3583333333333" style="8" customWidth="1"/>
    <col min="34" max="34" width="36.4666666666667" style="8" customWidth="1"/>
    <col min="35" max="16384" width="9" style="8" customWidth="1"/>
  </cols>
  <sheetData>
    <row r="1" ht="32" customHeight="1" spans="1:3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3" t="s">
        <v>30</v>
      </c>
      <c r="AG1" s="24"/>
    </row>
    <row r="2" s="16" customFormat="1" ht="47" customHeight="1" spans="1:35">
      <c r="A2" s="25" t="s">
        <v>31</v>
      </c>
      <c r="B2" s="25" t="s">
        <v>32</v>
      </c>
      <c r="C2" s="25" t="s">
        <v>33</v>
      </c>
      <c r="D2" s="25" t="s">
        <v>34</v>
      </c>
      <c r="E2" s="25" t="s">
        <v>35</v>
      </c>
      <c r="F2" s="25" t="s">
        <v>36</v>
      </c>
      <c r="G2" s="25" t="s">
        <v>37</v>
      </c>
      <c r="H2" s="25" t="s">
        <v>38</v>
      </c>
      <c r="I2" s="25" t="s">
        <v>39</v>
      </c>
      <c r="J2" s="25" t="s">
        <v>40</v>
      </c>
      <c r="K2" s="25" t="s">
        <v>41</v>
      </c>
      <c r="L2" s="25" t="s">
        <v>42</v>
      </c>
      <c r="M2" s="25" t="s">
        <v>43</v>
      </c>
      <c r="N2" s="25" t="s">
        <v>44</v>
      </c>
      <c r="O2" s="25" t="s">
        <v>45</v>
      </c>
      <c r="P2" s="25" t="s">
        <v>46</v>
      </c>
      <c r="Q2" s="25" t="s">
        <v>47</v>
      </c>
      <c r="R2" s="25" t="s">
        <v>48</v>
      </c>
      <c r="S2" s="25" t="s">
        <v>49</v>
      </c>
      <c r="T2" s="25" t="s">
        <v>50</v>
      </c>
      <c r="U2" s="25" t="s">
        <v>51</v>
      </c>
      <c r="V2" s="25" t="s">
        <v>52</v>
      </c>
      <c r="W2" s="25" t="s">
        <v>53</v>
      </c>
      <c r="X2" s="25" t="s">
        <v>54</v>
      </c>
      <c r="Y2" s="25" t="s">
        <v>55</v>
      </c>
      <c r="Z2" s="25" t="s">
        <v>56</v>
      </c>
      <c r="AA2" s="25" t="s">
        <v>57</v>
      </c>
      <c r="AB2" s="25" t="s">
        <v>58</v>
      </c>
      <c r="AC2" s="25" t="s">
        <v>59</v>
      </c>
      <c r="AD2" s="25" t="s">
        <v>60</v>
      </c>
      <c r="AE2" s="26" t="s">
        <v>61</v>
      </c>
      <c r="AF2"/>
      <c r="AG2" s="27" t="s">
        <v>62</v>
      </c>
      <c r="AH2"/>
      <c r="AI2"/>
    </row>
    <row r="3" s="17" customFormat="1" ht="57" hidden="1" customHeight="1" spans="1:35">
      <c r="A3" s="28" t="s">
        <v>63</v>
      </c>
      <c r="B3" s="28" t="s">
        <v>64</v>
      </c>
      <c r="C3" s="28" t="s">
        <v>65</v>
      </c>
      <c r="D3" s="28" t="s">
        <v>66</v>
      </c>
      <c r="E3" s="28" t="s">
        <v>67</v>
      </c>
      <c r="F3" s="28" t="s">
        <v>68</v>
      </c>
      <c r="G3" s="28" t="s">
        <v>69</v>
      </c>
      <c r="H3" s="29" t="s">
        <v>70</v>
      </c>
      <c r="I3" s="28">
        <v>54</v>
      </c>
      <c r="J3" s="28" t="s">
        <v>71</v>
      </c>
      <c r="K3" s="28">
        <v>83</v>
      </c>
      <c r="L3" s="28" t="s">
        <v>71</v>
      </c>
      <c r="M3" s="28">
        <v>37</v>
      </c>
      <c r="N3" s="28" t="s">
        <v>71</v>
      </c>
      <c r="O3" s="28">
        <v>2310</v>
      </c>
      <c r="P3" s="28" t="s">
        <v>72</v>
      </c>
      <c r="Q3" s="28" t="s">
        <v>73</v>
      </c>
      <c r="R3" s="28" t="s">
        <v>73</v>
      </c>
      <c r="S3" s="28" t="s">
        <v>73</v>
      </c>
      <c r="T3" s="28" t="s">
        <v>73</v>
      </c>
      <c r="U3" s="28" t="s">
        <v>73</v>
      </c>
      <c r="V3" s="28" t="s">
        <v>73</v>
      </c>
      <c r="W3" s="28" t="s">
        <v>73</v>
      </c>
      <c r="X3" s="28" t="s">
        <v>73</v>
      </c>
      <c r="Y3" s="28" t="s">
        <v>73</v>
      </c>
      <c r="Z3" s="28" t="s">
        <v>73</v>
      </c>
      <c r="AA3" s="28" t="s">
        <v>73</v>
      </c>
      <c r="AB3" s="28" t="s">
        <v>73</v>
      </c>
      <c r="AC3" s="28" t="s">
        <v>73</v>
      </c>
      <c r="AD3" s="28" t="s">
        <v>73</v>
      </c>
      <c r="AE3"/>
      <c r="AF3"/>
      <c r="AG3"/>
      <c r="AH3"/>
      <c r="AI3"/>
    </row>
    <row r="4" s="17" customFormat="1" hidden="1" spans="1:35">
      <c r="A4" s="28" t="s">
        <v>74</v>
      </c>
      <c r="B4" s="28" t="s">
        <v>75</v>
      </c>
      <c r="C4" s="28" t="s">
        <v>65</v>
      </c>
      <c r="D4" s="28" t="s">
        <v>66</v>
      </c>
      <c r="E4" s="28" t="s">
        <v>76</v>
      </c>
      <c r="F4" s="28" t="s">
        <v>68</v>
      </c>
      <c r="G4" s="28" t="s">
        <v>77</v>
      </c>
      <c r="H4" s="29" t="s">
        <v>78</v>
      </c>
      <c r="I4" s="28">
        <v>65</v>
      </c>
      <c r="J4" s="28" t="s">
        <v>71</v>
      </c>
      <c r="K4" s="28">
        <v>164</v>
      </c>
      <c r="L4" s="28" t="s">
        <v>71</v>
      </c>
      <c r="M4" s="28">
        <v>44</v>
      </c>
      <c r="N4" s="28" t="s">
        <v>71</v>
      </c>
      <c r="O4" s="28">
        <v>2345</v>
      </c>
      <c r="P4" s="28" t="s">
        <v>72</v>
      </c>
      <c r="Q4" s="28">
        <v>17</v>
      </c>
      <c r="R4" s="28" t="s">
        <v>79</v>
      </c>
      <c r="S4" s="28">
        <v>2</v>
      </c>
      <c r="T4" s="28" t="s">
        <v>66</v>
      </c>
      <c r="U4" s="28">
        <v>17</v>
      </c>
      <c r="V4" s="28" t="s">
        <v>68</v>
      </c>
      <c r="W4" s="28" t="s">
        <v>73</v>
      </c>
      <c r="X4" s="28" t="s">
        <v>73</v>
      </c>
      <c r="Y4" s="28" t="s">
        <v>73</v>
      </c>
      <c r="Z4" s="28" t="s">
        <v>73</v>
      </c>
      <c r="AA4" s="28" t="s">
        <v>73</v>
      </c>
      <c r="AB4" s="28" t="s">
        <v>73</v>
      </c>
      <c r="AC4" s="28" t="s">
        <v>73</v>
      </c>
      <c r="AD4" s="28" t="s">
        <v>73</v>
      </c>
      <c r="AE4"/>
      <c r="AF4"/>
      <c r="AG4"/>
      <c r="AH4"/>
    </row>
    <row r="5" s="18" customFormat="1" ht="113" hidden="1" customHeight="1" spans="1:35">
      <c r="A5" s="30" t="s">
        <v>80</v>
      </c>
      <c r="B5" s="30" t="s">
        <v>81</v>
      </c>
      <c r="C5" s="30" t="s">
        <v>65</v>
      </c>
      <c r="D5" s="30" t="s">
        <v>66</v>
      </c>
      <c r="E5" s="30" t="s">
        <v>82</v>
      </c>
      <c r="F5" s="30" t="s">
        <v>68</v>
      </c>
      <c r="G5" s="30" t="s">
        <v>77</v>
      </c>
      <c r="H5" s="31" t="s">
        <v>78</v>
      </c>
      <c r="I5" s="30">
        <v>55</v>
      </c>
      <c r="J5" s="30" t="s">
        <v>71</v>
      </c>
      <c r="K5" s="30">
        <v>90</v>
      </c>
      <c r="L5" s="30" t="s">
        <v>71</v>
      </c>
      <c r="M5" s="30">
        <v>40</v>
      </c>
      <c r="N5" s="30" t="s">
        <v>71</v>
      </c>
      <c r="O5" s="30">
        <v>1740</v>
      </c>
      <c r="P5" s="30" t="s">
        <v>72</v>
      </c>
      <c r="Q5" s="30" t="s">
        <v>83</v>
      </c>
      <c r="R5" s="30" t="s">
        <v>79</v>
      </c>
      <c r="S5" s="30">
        <v>0</v>
      </c>
      <c r="T5" s="30" t="s">
        <v>66</v>
      </c>
      <c r="U5" s="30">
        <v>1</v>
      </c>
      <c r="V5" s="30" t="s">
        <v>68</v>
      </c>
      <c r="W5" s="30" t="s">
        <v>73</v>
      </c>
      <c r="X5" s="30" t="s">
        <v>73</v>
      </c>
      <c r="Y5" s="30" t="s">
        <v>73</v>
      </c>
      <c r="Z5" s="30" t="s">
        <v>73</v>
      </c>
      <c r="AA5" s="30" t="s">
        <v>73</v>
      </c>
      <c r="AB5" s="30" t="s">
        <v>73</v>
      </c>
      <c r="AC5" s="30" t="s">
        <v>73</v>
      </c>
      <c r="AD5" s="30" t="s">
        <v>73</v>
      </c>
      <c r="AE5" s="32"/>
      <c r="AF5" s="32"/>
      <c r="AG5" s="32"/>
      <c r="AH5" s="32"/>
    </row>
    <row r="6" s="19" customFormat="1" ht="84" spans="1:35">
      <c r="A6" s="33" t="s">
        <v>84</v>
      </c>
      <c r="B6" s="33" t="s">
        <v>85</v>
      </c>
      <c r="C6" s="33" t="s">
        <v>86</v>
      </c>
      <c r="D6" s="33" t="s">
        <v>66</v>
      </c>
      <c r="E6" s="33" t="s">
        <v>67</v>
      </c>
      <c r="F6" s="33" t="s">
        <v>68</v>
      </c>
      <c r="G6" s="34" t="s">
        <v>87</v>
      </c>
      <c r="H6" s="35" t="s">
        <v>87</v>
      </c>
      <c r="I6" s="33">
        <v>63</v>
      </c>
      <c r="J6" s="33" t="s">
        <v>71</v>
      </c>
      <c r="K6" s="33">
        <v>114</v>
      </c>
      <c r="L6" s="33" t="s">
        <v>71</v>
      </c>
      <c r="M6" s="33">
        <v>53</v>
      </c>
      <c r="N6" s="33" t="s">
        <v>71</v>
      </c>
      <c r="O6" s="33">
        <v>1220</v>
      </c>
      <c r="P6" s="33" t="s">
        <v>72</v>
      </c>
      <c r="Q6" s="33" t="s">
        <v>73</v>
      </c>
      <c r="R6" s="33" t="s">
        <v>73</v>
      </c>
      <c r="S6" s="33" t="s">
        <v>73</v>
      </c>
      <c r="T6" s="33" t="s">
        <v>73</v>
      </c>
      <c r="U6" s="33" t="s">
        <v>73</v>
      </c>
      <c r="V6" s="33" t="s">
        <v>73</v>
      </c>
      <c r="W6" s="33" t="s">
        <v>73</v>
      </c>
      <c r="X6" s="33" t="s">
        <v>73</v>
      </c>
      <c r="Y6" s="33" t="s">
        <v>73</v>
      </c>
      <c r="Z6" s="33" t="s">
        <v>73</v>
      </c>
      <c r="AA6" s="33" t="s">
        <v>73</v>
      </c>
      <c r="AB6" s="33" t="s">
        <v>73</v>
      </c>
      <c r="AC6" s="33" t="s">
        <v>73</v>
      </c>
      <c r="AD6" s="33" t="s">
        <v>73</v>
      </c>
      <c r="AE6" s="36" t="s">
        <v>88</v>
      </c>
      <c r="AF6" s="37" t="s">
        <v>89</v>
      </c>
      <c r="AG6" s="37" t="s">
        <v>90</v>
      </c>
      <c r="AH6" s="37" t="str">
        <f>_xlfn.DISPIMG("ID_D35DD931F1FD40E38433426B647152D6",1)</f>
        <v>=DISPIMG("ID_D35DD931F1FD40E38433426B647152D6",1)</v>
      </c>
    </row>
    <row r="7" s="19" customFormat="1" ht="84" spans="1:35">
      <c r="A7" s="33" t="s">
        <v>84</v>
      </c>
      <c r="B7" s="33" t="s">
        <v>91</v>
      </c>
      <c r="C7" s="33" t="s">
        <v>65</v>
      </c>
      <c r="D7" s="33" t="s">
        <v>66</v>
      </c>
      <c r="E7" s="33" t="s">
        <v>92</v>
      </c>
      <c r="F7" s="33" t="s">
        <v>68</v>
      </c>
      <c r="G7" s="34" t="s">
        <v>87</v>
      </c>
      <c r="H7" s="35" t="s">
        <v>87</v>
      </c>
      <c r="I7" s="33">
        <v>62</v>
      </c>
      <c r="J7" s="33" t="s">
        <v>71</v>
      </c>
      <c r="K7" s="33">
        <v>117</v>
      </c>
      <c r="L7" s="33" t="s">
        <v>71</v>
      </c>
      <c r="M7" s="33">
        <v>53</v>
      </c>
      <c r="N7" s="33" t="s">
        <v>71</v>
      </c>
      <c r="O7" s="33">
        <v>1230</v>
      </c>
      <c r="P7" s="33" t="s">
        <v>72</v>
      </c>
      <c r="Q7" s="33" t="s">
        <v>73</v>
      </c>
      <c r="R7" s="33" t="s">
        <v>73</v>
      </c>
      <c r="S7" s="33" t="s">
        <v>73</v>
      </c>
      <c r="T7" s="33" t="s">
        <v>73</v>
      </c>
      <c r="U7" s="33" t="s">
        <v>73</v>
      </c>
      <c r="V7" s="33" t="s">
        <v>73</v>
      </c>
      <c r="W7" s="33" t="s">
        <v>73</v>
      </c>
      <c r="X7" s="33" t="s">
        <v>73</v>
      </c>
      <c r="Y7" s="33" t="s">
        <v>73</v>
      </c>
      <c r="Z7" s="33" t="s">
        <v>73</v>
      </c>
      <c r="AA7" s="33" t="s">
        <v>73</v>
      </c>
      <c r="AB7" s="33" t="s">
        <v>73</v>
      </c>
      <c r="AC7" s="33" t="s">
        <v>73</v>
      </c>
      <c r="AD7" s="33" t="s">
        <v>73</v>
      </c>
      <c r="AE7" s="36" t="s">
        <v>93</v>
      </c>
      <c r="AF7" s="37" t="s">
        <v>89</v>
      </c>
      <c r="AG7" s="37" t="s">
        <v>90</v>
      </c>
      <c r="AH7" s="37" t="str">
        <f>_xlfn.DISPIMG("ID_02E34AC624D74159A6B77512B59E6C0F",1)</f>
        <v>=DISPIMG("ID_02E34AC624D74159A6B77512B59E6C0F",1)</v>
      </c>
    </row>
    <row r="8" hidden="1" spans="1:35">
      <c r="A8" s="28" t="s">
        <v>84</v>
      </c>
      <c r="B8" s="28" t="s">
        <v>94</v>
      </c>
      <c r="C8" s="28" t="s">
        <v>95</v>
      </c>
      <c r="D8" s="28" t="s">
        <v>66</v>
      </c>
      <c r="E8" s="28" t="s">
        <v>96</v>
      </c>
      <c r="F8" s="28" t="s">
        <v>68</v>
      </c>
      <c r="G8" s="28" t="s">
        <v>69</v>
      </c>
      <c r="H8" s="29" t="s">
        <v>70</v>
      </c>
      <c r="I8" s="28">
        <v>62</v>
      </c>
      <c r="J8" s="28" t="s">
        <v>71</v>
      </c>
      <c r="K8" s="28">
        <v>74</v>
      </c>
      <c r="L8" s="28" t="s">
        <v>71</v>
      </c>
      <c r="M8" s="28">
        <v>57</v>
      </c>
      <c r="N8" s="28" t="s">
        <v>71</v>
      </c>
      <c r="O8" s="28">
        <v>1240</v>
      </c>
      <c r="P8" s="28" t="s">
        <v>72</v>
      </c>
      <c r="Q8" s="28" t="s">
        <v>73</v>
      </c>
      <c r="R8" s="28" t="s">
        <v>73</v>
      </c>
      <c r="S8" s="28" t="s">
        <v>73</v>
      </c>
      <c r="T8" s="28" t="s">
        <v>73</v>
      </c>
      <c r="U8" s="28" t="s">
        <v>73</v>
      </c>
      <c r="V8" s="28" t="s">
        <v>73</v>
      </c>
      <c r="W8" s="28" t="s">
        <v>73</v>
      </c>
      <c r="X8" s="28" t="s">
        <v>73</v>
      </c>
      <c r="Y8" s="28" t="s">
        <v>73</v>
      </c>
      <c r="Z8" s="28" t="s">
        <v>73</v>
      </c>
      <c r="AA8" s="28" t="s">
        <v>73</v>
      </c>
      <c r="AB8" s="28" t="s">
        <v>73</v>
      </c>
      <c r="AC8" s="28" t="s">
        <v>73</v>
      </c>
      <c r="AD8" s="28" t="s">
        <v>73</v>
      </c>
      <c r="AE8"/>
      <c r="AF8"/>
      <c r="AG8"/>
      <c r="AH8"/>
    </row>
    <row r="9" s="19" customFormat="1" ht="123" customHeight="1" spans="1:35">
      <c r="A9" s="33" t="s">
        <v>97</v>
      </c>
      <c r="B9" s="33" t="s">
        <v>98</v>
      </c>
      <c r="C9" s="33" t="s">
        <v>95</v>
      </c>
      <c r="D9" s="33" t="s">
        <v>66</v>
      </c>
      <c r="E9" s="33" t="s">
        <v>99</v>
      </c>
      <c r="F9" s="33" t="s">
        <v>68</v>
      </c>
      <c r="G9" s="33" t="s">
        <v>100</v>
      </c>
      <c r="H9" s="35" t="s">
        <v>101</v>
      </c>
      <c r="I9" s="33">
        <v>70</v>
      </c>
      <c r="J9" s="33" t="s">
        <v>71</v>
      </c>
      <c r="K9" s="33">
        <v>127</v>
      </c>
      <c r="L9" s="33" t="s">
        <v>71</v>
      </c>
      <c r="M9" s="33">
        <v>61</v>
      </c>
      <c r="N9" s="33" t="s">
        <v>71</v>
      </c>
      <c r="O9" s="33">
        <v>1175</v>
      </c>
      <c r="P9" s="33" t="s">
        <v>72</v>
      </c>
      <c r="Q9" s="33" t="s">
        <v>73</v>
      </c>
      <c r="R9" s="33" t="s">
        <v>73</v>
      </c>
      <c r="S9" s="33" t="s">
        <v>73</v>
      </c>
      <c r="T9" s="33" t="s">
        <v>73</v>
      </c>
      <c r="U9" s="33" t="s">
        <v>73</v>
      </c>
      <c r="V9" s="33" t="s">
        <v>73</v>
      </c>
      <c r="W9" s="33" t="s">
        <v>102</v>
      </c>
      <c r="X9" s="33" t="s">
        <v>79</v>
      </c>
      <c r="Y9" s="33">
        <v>0</v>
      </c>
      <c r="Z9" s="33" t="s">
        <v>66</v>
      </c>
      <c r="AA9" s="33">
        <v>0</v>
      </c>
      <c r="AB9" s="33" t="s">
        <v>68</v>
      </c>
      <c r="AC9" s="33">
        <v>0</v>
      </c>
      <c r="AD9" s="33" t="s">
        <v>103</v>
      </c>
      <c r="AE9" s="37" t="s">
        <v>104</v>
      </c>
      <c r="AF9" s="37"/>
      <c r="AG9" s="38" t="s">
        <v>105</v>
      </c>
      <c r="AH9" s="37"/>
    </row>
    <row r="10" hidden="1" spans="1:35">
      <c r="A10" s="28" t="s">
        <v>106</v>
      </c>
      <c r="B10" s="28" t="s">
        <v>107</v>
      </c>
      <c r="C10" s="28" t="s">
        <v>108</v>
      </c>
      <c r="D10" s="28" t="s">
        <v>66</v>
      </c>
      <c r="E10" s="28" t="s">
        <v>109</v>
      </c>
      <c r="F10" s="28" t="s">
        <v>68</v>
      </c>
      <c r="G10" s="28" t="s">
        <v>69</v>
      </c>
      <c r="H10" s="29" t="s">
        <v>70</v>
      </c>
      <c r="I10" s="28">
        <v>67</v>
      </c>
      <c r="J10" s="28" t="s">
        <v>71</v>
      </c>
      <c r="K10" s="28">
        <v>108</v>
      </c>
      <c r="L10" s="28" t="s">
        <v>71</v>
      </c>
      <c r="M10" s="28">
        <v>38</v>
      </c>
      <c r="N10" s="28" t="s">
        <v>71</v>
      </c>
      <c r="O10" s="28">
        <v>1930</v>
      </c>
      <c r="P10" s="28" t="s">
        <v>72</v>
      </c>
      <c r="Q10" s="28" t="s">
        <v>73</v>
      </c>
      <c r="R10" s="28" t="s">
        <v>73</v>
      </c>
      <c r="S10" s="28" t="s">
        <v>73</v>
      </c>
      <c r="T10" s="28" t="s">
        <v>73</v>
      </c>
      <c r="U10" s="28" t="s">
        <v>73</v>
      </c>
      <c r="V10" s="28" t="s">
        <v>73</v>
      </c>
      <c r="W10" s="28" t="s">
        <v>73</v>
      </c>
      <c r="X10" s="28" t="s">
        <v>73</v>
      </c>
      <c r="Y10" s="28" t="s">
        <v>73</v>
      </c>
      <c r="Z10" s="28" t="s">
        <v>73</v>
      </c>
      <c r="AA10" s="28" t="s">
        <v>73</v>
      </c>
      <c r="AB10" s="28" t="s">
        <v>73</v>
      </c>
      <c r="AC10" s="28" t="s">
        <v>73</v>
      </c>
      <c r="AD10" s="28" t="s">
        <v>73</v>
      </c>
    </row>
    <row r="11" s="20" customFormat="1" ht="28" hidden="1" spans="1:35">
      <c r="A11" s="39" t="s">
        <v>110</v>
      </c>
      <c r="B11" s="39" t="s">
        <v>111</v>
      </c>
      <c r="C11" s="39" t="s">
        <v>86</v>
      </c>
      <c r="D11" s="39" t="s">
        <v>66</v>
      </c>
      <c r="E11" s="39" t="s">
        <v>112</v>
      </c>
      <c r="F11" s="39" t="s">
        <v>68</v>
      </c>
      <c r="G11" s="39" t="s">
        <v>100</v>
      </c>
      <c r="H11" s="40" t="s">
        <v>101</v>
      </c>
      <c r="I11" s="39">
        <v>71</v>
      </c>
      <c r="J11" s="39" t="s">
        <v>71</v>
      </c>
      <c r="K11" s="39">
        <v>106</v>
      </c>
      <c r="L11" s="39" t="s">
        <v>71</v>
      </c>
      <c r="M11" s="39">
        <v>44</v>
      </c>
      <c r="N11" s="39" t="s">
        <v>71</v>
      </c>
      <c r="O11" s="39">
        <v>1425</v>
      </c>
      <c r="P11" s="39" t="s">
        <v>72</v>
      </c>
      <c r="Q11" s="39" t="s">
        <v>73</v>
      </c>
      <c r="R11" s="39" t="s">
        <v>73</v>
      </c>
      <c r="S11" s="39" t="s">
        <v>73</v>
      </c>
      <c r="T11" s="39" t="s">
        <v>73</v>
      </c>
      <c r="U11" s="39" t="s">
        <v>73</v>
      </c>
      <c r="V11" s="39" t="s">
        <v>73</v>
      </c>
      <c r="W11" s="39" t="s">
        <v>102</v>
      </c>
      <c r="X11" s="39" t="s">
        <v>79</v>
      </c>
      <c r="Y11" s="39">
        <v>0</v>
      </c>
      <c r="Z11" s="39" t="s">
        <v>66</v>
      </c>
      <c r="AA11" s="39">
        <v>0</v>
      </c>
      <c r="AB11" s="39" t="s">
        <v>68</v>
      </c>
      <c r="AC11" s="39">
        <v>38</v>
      </c>
      <c r="AD11" s="39" t="s">
        <v>103</v>
      </c>
    </row>
    <row r="12" hidden="1" spans="1:35">
      <c r="A12" s="28" t="s">
        <v>113</v>
      </c>
      <c r="B12" s="28" t="s">
        <v>114</v>
      </c>
      <c r="C12" s="28" t="s">
        <v>115</v>
      </c>
      <c r="D12" s="28" t="s">
        <v>66</v>
      </c>
      <c r="E12" s="28" t="s">
        <v>116</v>
      </c>
      <c r="F12" s="28" t="s">
        <v>68</v>
      </c>
      <c r="G12" s="28" t="s">
        <v>77</v>
      </c>
      <c r="H12" s="29" t="s">
        <v>78</v>
      </c>
      <c r="I12" s="28">
        <v>78</v>
      </c>
      <c r="J12" s="28" t="s">
        <v>71</v>
      </c>
      <c r="K12" s="28">
        <v>148</v>
      </c>
      <c r="L12" s="28" t="s">
        <v>71</v>
      </c>
      <c r="M12" s="28">
        <v>45</v>
      </c>
      <c r="N12" s="28" t="s">
        <v>71</v>
      </c>
      <c r="O12" s="28">
        <v>1950</v>
      </c>
      <c r="P12" s="28" t="s">
        <v>72</v>
      </c>
      <c r="Q12" s="28">
        <v>1</v>
      </c>
      <c r="R12" s="28" t="s">
        <v>79</v>
      </c>
      <c r="S12" s="28">
        <v>0</v>
      </c>
      <c r="T12" s="28" t="s">
        <v>66</v>
      </c>
      <c r="U12" s="28">
        <v>14</v>
      </c>
      <c r="V12" s="28" t="s">
        <v>68</v>
      </c>
      <c r="W12" s="28" t="s">
        <v>73</v>
      </c>
      <c r="X12" s="28" t="s">
        <v>73</v>
      </c>
      <c r="Y12" s="28" t="s">
        <v>73</v>
      </c>
      <c r="Z12" s="28" t="s">
        <v>73</v>
      </c>
      <c r="AA12" s="28" t="s">
        <v>73</v>
      </c>
      <c r="AB12" s="28" t="s">
        <v>73</v>
      </c>
      <c r="AC12" s="28" t="s">
        <v>73</v>
      </c>
      <c r="AD12" s="28" t="s">
        <v>73</v>
      </c>
    </row>
    <row r="13" s="19" customFormat="1" ht="124" customHeight="1" spans="1:35">
      <c r="A13" s="33" t="s">
        <v>117</v>
      </c>
      <c r="B13" s="33" t="s">
        <v>118</v>
      </c>
      <c r="C13" s="33" t="s">
        <v>65</v>
      </c>
      <c r="D13" s="33" t="s">
        <v>66</v>
      </c>
      <c r="E13" s="33" t="s">
        <v>116</v>
      </c>
      <c r="F13" s="33" t="s">
        <v>68</v>
      </c>
      <c r="G13" s="33" t="s">
        <v>69</v>
      </c>
      <c r="H13" s="35" t="s">
        <v>70</v>
      </c>
      <c r="I13" s="33">
        <v>92</v>
      </c>
      <c r="J13" s="33" t="s">
        <v>71</v>
      </c>
      <c r="K13" s="33">
        <v>153</v>
      </c>
      <c r="L13" s="33" t="s">
        <v>71</v>
      </c>
      <c r="M13" s="33">
        <v>70</v>
      </c>
      <c r="N13" s="33" t="s">
        <v>71</v>
      </c>
      <c r="O13" s="33">
        <v>1350</v>
      </c>
      <c r="P13" s="33" t="s">
        <v>72</v>
      </c>
      <c r="Q13" s="33" t="s">
        <v>73</v>
      </c>
      <c r="R13" s="33" t="s">
        <v>73</v>
      </c>
      <c r="S13" s="33" t="s">
        <v>73</v>
      </c>
      <c r="T13" s="33" t="s">
        <v>73</v>
      </c>
      <c r="U13" s="33" t="s">
        <v>73</v>
      </c>
      <c r="V13" s="33" t="s">
        <v>73</v>
      </c>
      <c r="W13" s="33" t="s">
        <v>73</v>
      </c>
      <c r="X13" s="33" t="s">
        <v>73</v>
      </c>
      <c r="Y13" s="33" t="s">
        <v>73</v>
      </c>
      <c r="Z13" s="33" t="s">
        <v>73</v>
      </c>
      <c r="AA13" s="33" t="s">
        <v>73</v>
      </c>
      <c r="AB13" s="33" t="s">
        <v>73</v>
      </c>
      <c r="AC13" s="33" t="s">
        <v>73</v>
      </c>
      <c r="AD13" s="33" t="s">
        <v>73</v>
      </c>
      <c r="AE13" s="19" t="s">
        <v>119</v>
      </c>
      <c r="AG13" s="38" t="s">
        <v>120</v>
      </c>
    </row>
    <row r="14" hidden="1" spans="1:35">
      <c r="A14" s="28" t="s">
        <v>121</v>
      </c>
      <c r="B14" s="28" t="s">
        <v>122</v>
      </c>
      <c r="C14" s="28" t="s">
        <v>65</v>
      </c>
      <c r="D14" s="28" t="s">
        <v>66</v>
      </c>
      <c r="E14" s="28" t="s">
        <v>115</v>
      </c>
      <c r="F14" s="28" t="s">
        <v>68</v>
      </c>
      <c r="G14" s="28" t="s">
        <v>123</v>
      </c>
      <c r="H14" s="29" t="s">
        <v>124</v>
      </c>
      <c r="I14" s="28">
        <v>81</v>
      </c>
      <c r="J14" s="28" t="s">
        <v>71</v>
      </c>
      <c r="K14" s="28">
        <v>136</v>
      </c>
      <c r="L14" s="28" t="s">
        <v>71</v>
      </c>
      <c r="M14" s="28">
        <v>49</v>
      </c>
      <c r="N14" s="28" t="s">
        <v>71</v>
      </c>
      <c r="O14" s="28">
        <v>1420</v>
      </c>
      <c r="P14" s="28" t="s">
        <v>72</v>
      </c>
      <c r="Q14" s="28" t="s">
        <v>83</v>
      </c>
      <c r="R14" s="28" t="s">
        <v>79</v>
      </c>
      <c r="S14" s="28">
        <v>1</v>
      </c>
      <c r="T14" s="28" t="s">
        <v>66</v>
      </c>
      <c r="U14" s="28">
        <v>45</v>
      </c>
      <c r="V14" s="28" t="s">
        <v>68</v>
      </c>
      <c r="W14" s="28">
        <v>21</v>
      </c>
      <c r="X14" s="28" t="s">
        <v>79</v>
      </c>
      <c r="Y14" s="28">
        <v>3</v>
      </c>
      <c r="Z14" s="28" t="s">
        <v>66</v>
      </c>
      <c r="AA14" s="28">
        <v>18</v>
      </c>
      <c r="AB14" s="28" t="s">
        <v>68</v>
      </c>
      <c r="AC14" s="28">
        <v>0</v>
      </c>
      <c r="AD14" s="28" t="s">
        <v>103</v>
      </c>
    </row>
    <row r="15" hidden="1" spans="1:35">
      <c r="A15" s="28" t="s">
        <v>125</v>
      </c>
      <c r="B15" s="28" t="s">
        <v>126</v>
      </c>
      <c r="C15" s="28" t="s">
        <v>65</v>
      </c>
      <c r="D15" s="28" t="s">
        <v>66</v>
      </c>
      <c r="E15" s="28">
        <v>0</v>
      </c>
      <c r="F15" s="28" t="s">
        <v>68</v>
      </c>
      <c r="G15" s="28" t="s">
        <v>123</v>
      </c>
      <c r="H15" s="29" t="s">
        <v>124</v>
      </c>
      <c r="I15" s="28">
        <v>70</v>
      </c>
      <c r="J15" s="28" t="s">
        <v>71</v>
      </c>
      <c r="K15" s="28">
        <v>151</v>
      </c>
      <c r="L15" s="28" t="s">
        <v>71</v>
      </c>
      <c r="M15" s="28">
        <v>31</v>
      </c>
      <c r="N15" s="28" t="s">
        <v>71</v>
      </c>
      <c r="O15" s="28">
        <v>14460</v>
      </c>
      <c r="P15" s="28" t="s">
        <v>72</v>
      </c>
      <c r="Q15" s="28" t="s">
        <v>83</v>
      </c>
      <c r="R15" s="28" t="s">
        <v>79</v>
      </c>
      <c r="S15" s="28">
        <v>0</v>
      </c>
      <c r="T15" s="28" t="s">
        <v>66</v>
      </c>
      <c r="U15" s="28">
        <v>1</v>
      </c>
      <c r="V15" s="28" t="s">
        <v>68</v>
      </c>
      <c r="W15" s="28">
        <v>100</v>
      </c>
      <c r="X15" s="28" t="s">
        <v>79</v>
      </c>
      <c r="Y15" s="28">
        <v>24</v>
      </c>
      <c r="Z15" s="28" t="s">
        <v>66</v>
      </c>
      <c r="AA15" s="28">
        <v>0</v>
      </c>
      <c r="AB15" s="28" t="s">
        <v>68</v>
      </c>
      <c r="AC15" s="28">
        <v>0</v>
      </c>
      <c r="AD15" s="28" t="s">
        <v>103</v>
      </c>
    </row>
    <row r="16" ht="28" hidden="1" spans="1:35">
      <c r="A16" s="28" t="s">
        <v>127</v>
      </c>
      <c r="B16" s="28" t="s">
        <v>128</v>
      </c>
      <c r="C16" s="28" t="s">
        <v>95</v>
      </c>
      <c r="D16" s="28" t="s">
        <v>66</v>
      </c>
      <c r="E16" s="28" t="s">
        <v>129</v>
      </c>
      <c r="F16" s="28" t="s">
        <v>68</v>
      </c>
      <c r="G16" s="28" t="s">
        <v>100</v>
      </c>
      <c r="H16" s="29" t="s">
        <v>101</v>
      </c>
      <c r="I16" s="28">
        <v>65</v>
      </c>
      <c r="J16" s="28" t="s">
        <v>71</v>
      </c>
      <c r="K16" s="28">
        <v>88</v>
      </c>
      <c r="L16" s="28" t="s">
        <v>71</v>
      </c>
      <c r="M16" s="28">
        <v>48</v>
      </c>
      <c r="N16" s="28" t="s">
        <v>71</v>
      </c>
      <c r="O16" s="28">
        <v>1695</v>
      </c>
      <c r="P16" s="28" t="s">
        <v>72</v>
      </c>
      <c r="Q16" s="28" t="s">
        <v>73</v>
      </c>
      <c r="R16" s="28" t="s">
        <v>73</v>
      </c>
      <c r="S16" s="28" t="s">
        <v>73</v>
      </c>
      <c r="T16" s="28" t="s">
        <v>73</v>
      </c>
      <c r="U16" s="28" t="s">
        <v>73</v>
      </c>
      <c r="V16" s="28" t="s">
        <v>73</v>
      </c>
      <c r="W16" s="28" t="s">
        <v>102</v>
      </c>
      <c r="X16" s="28" t="s">
        <v>79</v>
      </c>
      <c r="Y16" s="28">
        <v>0</v>
      </c>
      <c r="Z16" s="28" t="s">
        <v>66</v>
      </c>
      <c r="AA16" s="28">
        <v>9</v>
      </c>
      <c r="AB16" s="28" t="s">
        <v>68</v>
      </c>
      <c r="AC16" s="28">
        <v>58</v>
      </c>
      <c r="AD16" s="28" t="s">
        <v>103</v>
      </c>
    </row>
    <row r="17" hidden="1" spans="1:33">
      <c r="A17" s="28" t="s">
        <v>130</v>
      </c>
      <c r="B17" s="28" t="s">
        <v>131</v>
      </c>
      <c r="C17" s="28" t="s">
        <v>95</v>
      </c>
      <c r="D17" s="28" t="s">
        <v>66</v>
      </c>
      <c r="E17" s="28" t="s">
        <v>132</v>
      </c>
      <c r="F17" s="28" t="s">
        <v>68</v>
      </c>
      <c r="G17" s="28" t="s">
        <v>77</v>
      </c>
      <c r="H17" s="29" t="s">
        <v>78</v>
      </c>
      <c r="I17" s="28">
        <v>60</v>
      </c>
      <c r="J17" s="28" t="s">
        <v>71</v>
      </c>
      <c r="K17" s="28">
        <v>109</v>
      </c>
      <c r="L17" s="28" t="s">
        <v>71</v>
      </c>
      <c r="M17" s="28">
        <v>36</v>
      </c>
      <c r="N17" s="28" t="s">
        <v>71</v>
      </c>
      <c r="O17" s="28">
        <v>2075</v>
      </c>
      <c r="P17" s="28" t="s">
        <v>72</v>
      </c>
      <c r="Q17" s="28" t="s">
        <v>83</v>
      </c>
      <c r="R17" s="28" t="s">
        <v>79</v>
      </c>
      <c r="S17" s="28">
        <v>0</v>
      </c>
      <c r="T17" s="28" t="s">
        <v>66</v>
      </c>
      <c r="U17" s="28">
        <v>1</v>
      </c>
      <c r="V17" s="28" t="s">
        <v>68</v>
      </c>
      <c r="W17" s="28" t="s">
        <v>73</v>
      </c>
      <c r="X17" s="28" t="s">
        <v>73</v>
      </c>
      <c r="Y17" s="28" t="s">
        <v>73</v>
      </c>
      <c r="Z17" s="28" t="s">
        <v>73</v>
      </c>
      <c r="AA17" s="28" t="s">
        <v>73</v>
      </c>
      <c r="AB17" s="28" t="s">
        <v>73</v>
      </c>
      <c r="AC17" s="28" t="s">
        <v>73</v>
      </c>
      <c r="AD17" s="28" t="s">
        <v>73</v>
      </c>
    </row>
    <row r="18" hidden="1" spans="1:33">
      <c r="A18" s="28" t="s">
        <v>130</v>
      </c>
      <c r="B18" s="28" t="s">
        <v>133</v>
      </c>
      <c r="C18" s="28" t="s">
        <v>134</v>
      </c>
      <c r="D18" s="28" t="s">
        <v>66</v>
      </c>
      <c r="E18" s="28" t="s">
        <v>135</v>
      </c>
      <c r="F18" s="28" t="s">
        <v>68</v>
      </c>
      <c r="G18" s="28" t="s">
        <v>69</v>
      </c>
      <c r="H18" s="29" t="s">
        <v>70</v>
      </c>
      <c r="I18" s="28">
        <v>60</v>
      </c>
      <c r="J18" s="28" t="s">
        <v>71</v>
      </c>
      <c r="K18" s="28">
        <v>85</v>
      </c>
      <c r="L18" s="28" t="s">
        <v>71</v>
      </c>
      <c r="M18" s="28">
        <v>46</v>
      </c>
      <c r="N18" s="28" t="s">
        <v>71</v>
      </c>
      <c r="O18" s="28">
        <v>1870</v>
      </c>
      <c r="P18" s="28" t="s">
        <v>72</v>
      </c>
      <c r="Q18" s="28" t="s">
        <v>73</v>
      </c>
      <c r="R18" s="28" t="s">
        <v>73</v>
      </c>
      <c r="S18" s="28" t="s">
        <v>73</v>
      </c>
      <c r="T18" s="28" t="s">
        <v>73</v>
      </c>
      <c r="U18" s="28" t="s">
        <v>73</v>
      </c>
      <c r="V18" s="28" t="s">
        <v>73</v>
      </c>
      <c r="W18" s="28" t="s">
        <v>73</v>
      </c>
      <c r="X18" s="28" t="s">
        <v>73</v>
      </c>
      <c r="Y18" s="28" t="s">
        <v>73</v>
      </c>
      <c r="Z18" s="28" t="s">
        <v>73</v>
      </c>
      <c r="AA18" s="28" t="s">
        <v>73</v>
      </c>
      <c r="AB18" s="28" t="s">
        <v>73</v>
      </c>
      <c r="AC18" s="28" t="s">
        <v>73</v>
      </c>
      <c r="AD18" s="28" t="s">
        <v>73</v>
      </c>
    </row>
    <row r="19" ht="28" hidden="1" spans="1:33">
      <c r="A19" s="28" t="s">
        <v>130</v>
      </c>
      <c r="B19" s="28" t="s">
        <v>136</v>
      </c>
      <c r="C19" s="28" t="s">
        <v>137</v>
      </c>
      <c r="D19" s="28" t="s">
        <v>66</v>
      </c>
      <c r="E19" s="28" t="s">
        <v>138</v>
      </c>
      <c r="F19" s="28" t="s">
        <v>68</v>
      </c>
      <c r="G19" s="28" t="s">
        <v>100</v>
      </c>
      <c r="H19" s="29" t="s">
        <v>101</v>
      </c>
      <c r="I19" s="28">
        <v>63</v>
      </c>
      <c r="J19" s="28" t="s">
        <v>71</v>
      </c>
      <c r="K19" s="28">
        <v>116</v>
      </c>
      <c r="L19" s="28" t="s">
        <v>71</v>
      </c>
      <c r="M19" s="28">
        <v>44</v>
      </c>
      <c r="N19" s="28" t="s">
        <v>71</v>
      </c>
      <c r="O19" s="28">
        <v>2005</v>
      </c>
      <c r="P19" s="28" t="s">
        <v>72</v>
      </c>
      <c r="Q19" s="28" t="s">
        <v>73</v>
      </c>
      <c r="R19" s="28" t="s">
        <v>73</v>
      </c>
      <c r="S19" s="28" t="s">
        <v>73</v>
      </c>
      <c r="T19" s="28" t="s">
        <v>73</v>
      </c>
      <c r="U19" s="28" t="s">
        <v>73</v>
      </c>
      <c r="V19" s="28" t="s">
        <v>73</v>
      </c>
      <c r="W19" s="28" t="s">
        <v>102</v>
      </c>
      <c r="X19" s="28" t="s">
        <v>79</v>
      </c>
      <c r="Y19" s="28">
        <v>0</v>
      </c>
      <c r="Z19" s="28" t="s">
        <v>66</v>
      </c>
      <c r="AA19" s="28">
        <v>1</v>
      </c>
      <c r="AB19" s="28" t="s">
        <v>68</v>
      </c>
      <c r="AC19" s="28">
        <v>2</v>
      </c>
      <c r="AD19" s="28" t="s">
        <v>103</v>
      </c>
    </row>
    <row r="20" hidden="1" spans="1:33">
      <c r="A20" s="28" t="s">
        <v>130</v>
      </c>
      <c r="B20" s="28" t="s">
        <v>139</v>
      </c>
      <c r="C20" s="28" t="s">
        <v>65</v>
      </c>
      <c r="D20" s="28" t="s">
        <v>66</v>
      </c>
      <c r="E20" s="28" t="s">
        <v>140</v>
      </c>
      <c r="F20" s="28" t="s">
        <v>68</v>
      </c>
      <c r="G20" s="28" t="s">
        <v>77</v>
      </c>
      <c r="H20" s="29" t="s">
        <v>78</v>
      </c>
      <c r="I20" s="28">
        <v>66</v>
      </c>
      <c r="J20" s="28" t="s">
        <v>71</v>
      </c>
      <c r="K20" s="28">
        <v>120</v>
      </c>
      <c r="L20" s="28" t="s">
        <v>71</v>
      </c>
      <c r="M20" s="28">
        <v>43</v>
      </c>
      <c r="N20" s="28" t="s">
        <v>71</v>
      </c>
      <c r="O20" s="28">
        <v>1725</v>
      </c>
      <c r="P20" s="28" t="s">
        <v>72</v>
      </c>
      <c r="Q20" s="28">
        <v>1</v>
      </c>
      <c r="R20" s="28" t="s">
        <v>79</v>
      </c>
      <c r="S20" s="28">
        <v>0</v>
      </c>
      <c r="T20" s="28" t="s">
        <v>66</v>
      </c>
      <c r="U20" s="28">
        <v>7</v>
      </c>
      <c r="V20" s="28" t="s">
        <v>68</v>
      </c>
      <c r="W20" s="28" t="s">
        <v>73</v>
      </c>
      <c r="X20" s="28" t="s">
        <v>73</v>
      </c>
      <c r="Y20" s="28" t="s">
        <v>73</v>
      </c>
      <c r="Z20" s="28" t="s">
        <v>73</v>
      </c>
      <c r="AA20" s="28" t="s">
        <v>73</v>
      </c>
      <c r="AB20" s="28" t="s">
        <v>73</v>
      </c>
      <c r="AC20" s="28" t="s">
        <v>73</v>
      </c>
      <c r="AD20" s="28" t="s">
        <v>73</v>
      </c>
    </row>
    <row r="21" hidden="1" spans="1:33">
      <c r="A21" s="28" t="s">
        <v>141</v>
      </c>
      <c r="B21" s="28" t="s">
        <v>142</v>
      </c>
      <c r="C21" s="28" t="s">
        <v>95</v>
      </c>
      <c r="D21" s="28" t="s">
        <v>66</v>
      </c>
      <c r="E21" s="28" t="s">
        <v>99</v>
      </c>
      <c r="F21" s="28" t="s">
        <v>68</v>
      </c>
      <c r="G21" s="28" t="s">
        <v>69</v>
      </c>
      <c r="H21" s="29" t="s">
        <v>70</v>
      </c>
      <c r="I21" s="28">
        <v>76</v>
      </c>
      <c r="J21" s="28" t="s">
        <v>71</v>
      </c>
      <c r="K21" s="28">
        <v>114</v>
      </c>
      <c r="L21" s="28" t="s">
        <v>71</v>
      </c>
      <c r="M21" s="28">
        <v>52</v>
      </c>
      <c r="N21" s="28" t="s">
        <v>71</v>
      </c>
      <c r="O21" s="28">
        <v>1515</v>
      </c>
      <c r="P21" s="28" t="s">
        <v>72</v>
      </c>
      <c r="Q21" s="28" t="s">
        <v>73</v>
      </c>
      <c r="R21" s="28" t="s">
        <v>73</v>
      </c>
      <c r="S21" s="28" t="s">
        <v>73</v>
      </c>
      <c r="T21" s="28" t="s">
        <v>73</v>
      </c>
      <c r="U21" s="28" t="s">
        <v>73</v>
      </c>
      <c r="V21" s="28" t="s">
        <v>73</v>
      </c>
      <c r="W21" s="28" t="s">
        <v>73</v>
      </c>
      <c r="X21" s="28" t="s">
        <v>73</v>
      </c>
      <c r="Y21" s="28" t="s">
        <v>73</v>
      </c>
      <c r="Z21" s="28" t="s">
        <v>73</v>
      </c>
      <c r="AA21" s="28" t="s">
        <v>73</v>
      </c>
      <c r="AB21" s="28" t="s">
        <v>73</v>
      </c>
      <c r="AC21" s="28" t="s">
        <v>73</v>
      </c>
      <c r="AD21" s="28" t="s">
        <v>73</v>
      </c>
    </row>
    <row r="22" ht="28" hidden="1" spans="1:33">
      <c r="A22" s="28" t="s">
        <v>143</v>
      </c>
      <c r="B22" s="28" t="s">
        <v>144</v>
      </c>
      <c r="C22" s="28" t="s">
        <v>65</v>
      </c>
      <c r="D22" s="28" t="s">
        <v>66</v>
      </c>
      <c r="E22" s="28" t="s">
        <v>145</v>
      </c>
      <c r="F22" s="28" t="s">
        <v>68</v>
      </c>
      <c r="G22" s="28" t="s">
        <v>100</v>
      </c>
      <c r="H22" s="29" t="s">
        <v>101</v>
      </c>
      <c r="I22" s="28">
        <v>77</v>
      </c>
      <c r="J22" s="28" t="s">
        <v>71</v>
      </c>
      <c r="K22" s="28">
        <v>110</v>
      </c>
      <c r="L22" s="28" t="s">
        <v>71</v>
      </c>
      <c r="M22" s="28">
        <v>57</v>
      </c>
      <c r="N22" s="28" t="s">
        <v>71</v>
      </c>
      <c r="O22" s="28">
        <v>1535</v>
      </c>
      <c r="P22" s="28" t="s">
        <v>72</v>
      </c>
      <c r="Q22" s="28" t="s">
        <v>73</v>
      </c>
      <c r="R22" s="28" t="s">
        <v>73</v>
      </c>
      <c r="S22" s="28" t="s">
        <v>73</v>
      </c>
      <c r="T22" s="28" t="s">
        <v>73</v>
      </c>
      <c r="U22" s="28" t="s">
        <v>73</v>
      </c>
      <c r="V22" s="28" t="s">
        <v>73</v>
      </c>
      <c r="W22" s="28" t="s">
        <v>102</v>
      </c>
      <c r="X22" s="28" t="s">
        <v>79</v>
      </c>
      <c r="Y22" s="28">
        <v>0</v>
      </c>
      <c r="Z22" s="28" t="s">
        <v>66</v>
      </c>
      <c r="AA22" s="28">
        <v>1</v>
      </c>
      <c r="AB22" s="28" t="s">
        <v>68</v>
      </c>
      <c r="AC22" s="28">
        <v>17</v>
      </c>
      <c r="AD22" s="28" t="s">
        <v>103</v>
      </c>
    </row>
    <row r="23" hidden="1" spans="1:33">
      <c r="A23" s="28" t="s">
        <v>146</v>
      </c>
      <c r="B23" s="28" t="s">
        <v>147</v>
      </c>
      <c r="C23" s="28" t="s">
        <v>65</v>
      </c>
      <c r="D23" s="28" t="s">
        <v>66</v>
      </c>
      <c r="E23" s="28">
        <v>0</v>
      </c>
      <c r="F23" s="28" t="s">
        <v>68</v>
      </c>
      <c r="G23" s="28" t="s">
        <v>69</v>
      </c>
      <c r="H23" s="29" t="s">
        <v>70</v>
      </c>
      <c r="I23" s="28">
        <v>75</v>
      </c>
      <c r="J23" s="28" t="s">
        <v>71</v>
      </c>
      <c r="K23" s="28">
        <v>108</v>
      </c>
      <c r="L23" s="28" t="s">
        <v>71</v>
      </c>
      <c r="M23" s="28">
        <v>56</v>
      </c>
      <c r="N23" s="28" t="s">
        <v>71</v>
      </c>
      <c r="O23" s="28">
        <v>1355</v>
      </c>
      <c r="P23" s="28" t="s">
        <v>72</v>
      </c>
      <c r="Q23" s="28" t="s">
        <v>73</v>
      </c>
      <c r="R23" s="28" t="s">
        <v>73</v>
      </c>
      <c r="S23" s="28" t="s">
        <v>73</v>
      </c>
      <c r="T23" s="28" t="s">
        <v>73</v>
      </c>
      <c r="U23" s="28" t="s">
        <v>73</v>
      </c>
      <c r="V23" s="28" t="s">
        <v>73</v>
      </c>
      <c r="W23" s="28" t="s">
        <v>73</v>
      </c>
      <c r="X23" s="28" t="s">
        <v>73</v>
      </c>
      <c r="Y23" s="28" t="s">
        <v>73</v>
      </c>
      <c r="Z23" s="28" t="s">
        <v>73</v>
      </c>
      <c r="AA23" s="28" t="s">
        <v>73</v>
      </c>
      <c r="AB23" s="28" t="s">
        <v>73</v>
      </c>
      <c r="AC23" s="28" t="s">
        <v>73</v>
      </c>
      <c r="AD23" s="28" t="s">
        <v>73</v>
      </c>
    </row>
    <row r="24" s="19" customFormat="1" ht="85" customHeight="1" spans="1:33">
      <c r="A24" s="33" t="s">
        <v>148</v>
      </c>
      <c r="B24" s="33" t="s">
        <v>149</v>
      </c>
      <c r="C24" s="33" t="s">
        <v>95</v>
      </c>
      <c r="D24" s="33" t="s">
        <v>66</v>
      </c>
      <c r="E24" s="33" t="s">
        <v>150</v>
      </c>
      <c r="F24" s="33" t="s">
        <v>68</v>
      </c>
      <c r="G24" s="33" t="s">
        <v>123</v>
      </c>
      <c r="H24" s="35" t="s">
        <v>124</v>
      </c>
      <c r="I24" s="33">
        <v>72</v>
      </c>
      <c r="J24" s="33" t="s">
        <v>71</v>
      </c>
      <c r="K24" s="33">
        <v>142</v>
      </c>
      <c r="L24" s="33" t="s">
        <v>71</v>
      </c>
      <c r="M24" s="33">
        <v>39</v>
      </c>
      <c r="N24" s="33" t="s">
        <v>71</v>
      </c>
      <c r="O24" s="33">
        <v>2300</v>
      </c>
      <c r="P24" s="33" t="s">
        <v>72</v>
      </c>
      <c r="Q24" s="33">
        <v>6</v>
      </c>
      <c r="R24" s="33" t="s">
        <v>79</v>
      </c>
      <c r="S24" s="33">
        <v>1</v>
      </c>
      <c r="T24" s="33" t="s">
        <v>66</v>
      </c>
      <c r="U24" s="33">
        <v>2</v>
      </c>
      <c r="V24" s="33" t="s">
        <v>68</v>
      </c>
      <c r="W24" s="33" t="s">
        <v>102</v>
      </c>
      <c r="X24" s="33" t="s">
        <v>79</v>
      </c>
      <c r="Y24" s="33">
        <v>0</v>
      </c>
      <c r="Z24" s="33" t="s">
        <v>66</v>
      </c>
      <c r="AA24" s="33">
        <v>0</v>
      </c>
      <c r="AB24" s="33" t="s">
        <v>68</v>
      </c>
      <c r="AC24" s="33">
        <v>0</v>
      </c>
      <c r="AD24" s="33" t="s">
        <v>103</v>
      </c>
      <c r="AE24" s="19" t="s">
        <v>151</v>
      </c>
      <c r="AG24" s="38" t="s">
        <v>152</v>
      </c>
    </row>
    <row r="25" hidden="1" spans="1:33">
      <c r="A25" s="28" t="s">
        <v>153</v>
      </c>
      <c r="B25" s="28" t="s">
        <v>154</v>
      </c>
      <c r="C25" s="28" t="s">
        <v>65</v>
      </c>
      <c r="D25" s="28" t="s">
        <v>66</v>
      </c>
      <c r="E25" s="28" t="s">
        <v>150</v>
      </c>
      <c r="F25" s="28" t="s">
        <v>68</v>
      </c>
      <c r="G25" s="28" t="s">
        <v>100</v>
      </c>
      <c r="H25" s="29" t="s">
        <v>101</v>
      </c>
      <c r="I25" s="28">
        <v>64</v>
      </c>
      <c r="J25" s="28" t="s">
        <v>71</v>
      </c>
      <c r="K25" s="28">
        <v>84</v>
      </c>
      <c r="L25" s="28" t="s">
        <v>71</v>
      </c>
      <c r="M25" s="28">
        <v>59</v>
      </c>
      <c r="N25" s="28" t="s">
        <v>71</v>
      </c>
      <c r="O25" s="28">
        <v>1175</v>
      </c>
      <c r="P25" s="28" t="s">
        <v>72</v>
      </c>
      <c r="Q25" s="28" t="s">
        <v>73</v>
      </c>
      <c r="R25" s="28" t="s">
        <v>73</v>
      </c>
      <c r="S25" s="28" t="s">
        <v>73</v>
      </c>
      <c r="T25" s="28" t="s">
        <v>73</v>
      </c>
      <c r="U25" s="28" t="s">
        <v>73</v>
      </c>
      <c r="V25" s="28" t="s">
        <v>73</v>
      </c>
      <c r="W25" s="28">
        <v>100</v>
      </c>
      <c r="X25" s="28" t="s">
        <v>79</v>
      </c>
      <c r="Y25" s="28">
        <v>24</v>
      </c>
      <c r="Z25" s="28" t="s">
        <v>66</v>
      </c>
      <c r="AA25" s="28">
        <v>57</v>
      </c>
      <c r="AB25" s="28" t="s">
        <v>68</v>
      </c>
      <c r="AC25" s="28">
        <v>0</v>
      </c>
      <c r="AD25" s="28" t="s">
        <v>103</v>
      </c>
    </row>
    <row r="26" s="20" customFormat="1" hidden="1" spans="1:33">
      <c r="A26" s="39" t="s">
        <v>155</v>
      </c>
      <c r="B26" s="39" t="s">
        <v>156</v>
      </c>
      <c r="C26" s="39" t="s">
        <v>86</v>
      </c>
      <c r="D26" s="39" t="s">
        <v>66</v>
      </c>
      <c r="E26" s="39" t="s">
        <v>157</v>
      </c>
      <c r="F26" s="39" t="s">
        <v>68</v>
      </c>
      <c r="G26" s="39" t="s">
        <v>100</v>
      </c>
      <c r="H26" s="40" t="s">
        <v>101</v>
      </c>
      <c r="I26" s="39">
        <v>79</v>
      </c>
      <c r="J26" s="39" t="s">
        <v>71</v>
      </c>
      <c r="K26" s="39">
        <v>137</v>
      </c>
      <c r="L26" s="39" t="s">
        <v>71</v>
      </c>
      <c r="M26" s="39">
        <v>58</v>
      </c>
      <c r="N26" s="39" t="s">
        <v>71</v>
      </c>
      <c r="O26" s="39">
        <v>1340</v>
      </c>
      <c r="P26" s="39" t="s">
        <v>72</v>
      </c>
      <c r="Q26" s="39" t="s">
        <v>73</v>
      </c>
      <c r="R26" s="39" t="s">
        <v>73</v>
      </c>
      <c r="S26" s="39" t="s">
        <v>73</v>
      </c>
      <c r="T26" s="39" t="s">
        <v>73</v>
      </c>
      <c r="U26" s="39" t="s">
        <v>73</v>
      </c>
      <c r="V26" s="39" t="s">
        <v>73</v>
      </c>
      <c r="W26" s="39" t="s">
        <v>83</v>
      </c>
      <c r="X26" s="39" t="s">
        <v>79</v>
      </c>
      <c r="Y26" s="39">
        <v>0</v>
      </c>
      <c r="Z26" s="39" t="s">
        <v>66</v>
      </c>
      <c r="AA26" s="39">
        <v>2</v>
      </c>
      <c r="AB26" s="39" t="s">
        <v>68</v>
      </c>
      <c r="AC26" s="39">
        <v>0</v>
      </c>
      <c r="AD26" s="39" t="s">
        <v>103</v>
      </c>
    </row>
    <row r="27" s="20" customFormat="1" hidden="1" spans="1:33">
      <c r="A27" s="39" t="s">
        <v>158</v>
      </c>
      <c r="B27" s="39" t="s">
        <v>159</v>
      </c>
      <c r="C27" s="39" t="s">
        <v>115</v>
      </c>
      <c r="D27" s="39" t="s">
        <v>66</v>
      </c>
      <c r="E27" s="39" t="s">
        <v>160</v>
      </c>
      <c r="F27" s="39" t="s">
        <v>68</v>
      </c>
      <c r="G27" s="39" t="s">
        <v>69</v>
      </c>
      <c r="H27" s="40" t="s">
        <v>70</v>
      </c>
      <c r="I27" s="39">
        <v>63</v>
      </c>
      <c r="J27" s="39" t="s">
        <v>71</v>
      </c>
      <c r="K27" s="39">
        <v>92</v>
      </c>
      <c r="L27" s="39" t="s">
        <v>71</v>
      </c>
      <c r="M27" s="39">
        <v>41</v>
      </c>
      <c r="N27" s="39" t="s">
        <v>71</v>
      </c>
      <c r="O27" s="39">
        <v>2775</v>
      </c>
      <c r="P27" s="39" t="s">
        <v>72</v>
      </c>
      <c r="Q27" s="39" t="s">
        <v>73</v>
      </c>
      <c r="R27" s="39" t="s">
        <v>73</v>
      </c>
      <c r="S27" s="39" t="s">
        <v>73</v>
      </c>
      <c r="T27" s="39" t="s">
        <v>73</v>
      </c>
      <c r="U27" s="39" t="s">
        <v>73</v>
      </c>
      <c r="V27" s="39" t="s">
        <v>73</v>
      </c>
      <c r="W27" s="39" t="s">
        <v>73</v>
      </c>
      <c r="X27" s="39" t="s">
        <v>73</v>
      </c>
      <c r="Y27" s="39" t="s">
        <v>73</v>
      </c>
      <c r="Z27" s="39" t="s">
        <v>73</v>
      </c>
      <c r="AA27" s="39" t="s">
        <v>73</v>
      </c>
      <c r="AB27" s="39" t="s">
        <v>73</v>
      </c>
      <c r="AC27" s="39" t="s">
        <v>73</v>
      </c>
      <c r="AD27" s="39" t="s">
        <v>73</v>
      </c>
    </row>
    <row r="28" ht="28" hidden="1" spans="1:33">
      <c r="A28" s="28" t="s">
        <v>158</v>
      </c>
      <c r="B28" s="28" t="s">
        <v>161</v>
      </c>
      <c r="C28" s="28" t="s">
        <v>86</v>
      </c>
      <c r="D28" s="28" t="s">
        <v>66</v>
      </c>
      <c r="E28" s="28" t="s">
        <v>162</v>
      </c>
      <c r="F28" s="28" t="s">
        <v>68</v>
      </c>
      <c r="G28" s="28" t="s">
        <v>123</v>
      </c>
      <c r="H28" s="29" t="s">
        <v>124</v>
      </c>
      <c r="I28" s="28">
        <v>67</v>
      </c>
      <c r="J28" s="28" t="s">
        <v>71</v>
      </c>
      <c r="K28" s="28">
        <v>125</v>
      </c>
      <c r="L28" s="28" t="s">
        <v>71</v>
      </c>
      <c r="M28" s="28">
        <v>32</v>
      </c>
      <c r="N28" s="28" t="s">
        <v>71</v>
      </c>
      <c r="O28" s="28">
        <v>2020</v>
      </c>
      <c r="P28" s="28" t="s">
        <v>72</v>
      </c>
      <c r="Q28" s="28" t="s">
        <v>83</v>
      </c>
      <c r="R28" s="28" t="s">
        <v>79</v>
      </c>
      <c r="S28" s="28">
        <v>0</v>
      </c>
      <c r="T28" s="28" t="s">
        <v>66</v>
      </c>
      <c r="U28" s="28">
        <v>4</v>
      </c>
      <c r="V28" s="28" t="s">
        <v>68</v>
      </c>
      <c r="W28" s="28" t="s">
        <v>102</v>
      </c>
      <c r="X28" s="28" t="s">
        <v>79</v>
      </c>
      <c r="Y28" s="28">
        <v>0</v>
      </c>
      <c r="Z28" s="28" t="s">
        <v>66</v>
      </c>
      <c r="AA28" s="28">
        <v>0</v>
      </c>
      <c r="AB28" s="28" t="s">
        <v>68</v>
      </c>
      <c r="AC28" s="28">
        <v>31</v>
      </c>
      <c r="AD28" s="28" t="s">
        <v>103</v>
      </c>
    </row>
    <row r="29" hidden="1" spans="1:33">
      <c r="A29" s="28" t="s">
        <v>163</v>
      </c>
      <c r="B29" s="28" t="s">
        <v>164</v>
      </c>
      <c r="C29" s="28" t="s">
        <v>65</v>
      </c>
      <c r="D29" s="28" t="s">
        <v>66</v>
      </c>
      <c r="E29" s="28" t="s">
        <v>67</v>
      </c>
      <c r="F29" s="28" t="s">
        <v>68</v>
      </c>
      <c r="G29" s="28" t="s">
        <v>69</v>
      </c>
      <c r="H29" s="29" t="s">
        <v>70</v>
      </c>
      <c r="I29" s="28">
        <v>95</v>
      </c>
      <c r="J29" s="28" t="s">
        <v>71</v>
      </c>
      <c r="K29" s="28">
        <v>144</v>
      </c>
      <c r="L29" s="28" t="s">
        <v>71</v>
      </c>
      <c r="M29" s="28">
        <v>67</v>
      </c>
      <c r="N29" s="28" t="s">
        <v>71</v>
      </c>
      <c r="O29" s="28">
        <v>1435</v>
      </c>
      <c r="P29" s="28" t="s">
        <v>72</v>
      </c>
      <c r="Q29" s="28" t="s">
        <v>73</v>
      </c>
      <c r="R29" s="28" t="s">
        <v>73</v>
      </c>
      <c r="S29" s="28" t="s">
        <v>73</v>
      </c>
      <c r="T29" s="28" t="s">
        <v>73</v>
      </c>
      <c r="U29" s="28" t="s">
        <v>73</v>
      </c>
      <c r="V29" s="28" t="s">
        <v>73</v>
      </c>
      <c r="W29" s="28" t="s">
        <v>73</v>
      </c>
      <c r="X29" s="28" t="s">
        <v>73</v>
      </c>
      <c r="Y29" s="28" t="s">
        <v>73</v>
      </c>
      <c r="Z29" s="28" t="s">
        <v>73</v>
      </c>
      <c r="AA29" s="28" t="s">
        <v>73</v>
      </c>
      <c r="AB29" s="28" t="s">
        <v>73</v>
      </c>
      <c r="AC29" s="28" t="s">
        <v>73</v>
      </c>
      <c r="AD29" s="28" t="s">
        <v>73</v>
      </c>
    </row>
    <row r="30" ht="28" hidden="1" spans="1:33">
      <c r="A30" s="28" t="s">
        <v>165</v>
      </c>
      <c r="B30" s="28" t="s">
        <v>166</v>
      </c>
      <c r="C30" s="28" t="s">
        <v>65</v>
      </c>
      <c r="D30" s="28" t="s">
        <v>66</v>
      </c>
      <c r="E30" s="28" t="s">
        <v>167</v>
      </c>
      <c r="F30" s="28" t="s">
        <v>68</v>
      </c>
      <c r="G30" s="28" t="s">
        <v>100</v>
      </c>
      <c r="H30" s="29" t="s">
        <v>101</v>
      </c>
      <c r="I30" s="28">
        <v>74</v>
      </c>
      <c r="J30" s="28" t="s">
        <v>71</v>
      </c>
      <c r="K30" s="28">
        <v>203</v>
      </c>
      <c r="L30" s="28" t="s">
        <v>71</v>
      </c>
      <c r="M30" s="28">
        <v>18</v>
      </c>
      <c r="N30" s="28" t="s">
        <v>71</v>
      </c>
      <c r="O30" s="28">
        <v>9030</v>
      </c>
      <c r="P30" s="28" t="s">
        <v>72</v>
      </c>
      <c r="Q30" s="28" t="s">
        <v>73</v>
      </c>
      <c r="R30" s="28" t="s">
        <v>73</v>
      </c>
      <c r="S30" s="28" t="s">
        <v>73</v>
      </c>
      <c r="T30" s="28" t="s">
        <v>73</v>
      </c>
      <c r="U30" s="28" t="s">
        <v>73</v>
      </c>
      <c r="V30" s="28" t="s">
        <v>73</v>
      </c>
      <c r="W30" s="28" t="s">
        <v>102</v>
      </c>
      <c r="X30" s="28" t="s">
        <v>79</v>
      </c>
      <c r="Y30" s="28">
        <v>0</v>
      </c>
      <c r="Z30" s="28" t="s">
        <v>66</v>
      </c>
      <c r="AA30" s="28">
        <v>18</v>
      </c>
      <c r="AB30" s="28" t="s">
        <v>68</v>
      </c>
      <c r="AC30" s="28">
        <v>53</v>
      </c>
      <c r="AD30" s="28" t="s">
        <v>103</v>
      </c>
    </row>
    <row r="31" hidden="1" customHeight="1" spans="1:33">
      <c r="A31" s="28" t="s">
        <v>168</v>
      </c>
      <c r="B31" s="28" t="s">
        <v>169</v>
      </c>
      <c r="C31" s="28" t="s">
        <v>65</v>
      </c>
      <c r="D31" s="28" t="s">
        <v>66</v>
      </c>
      <c r="E31" s="28" t="s">
        <v>82</v>
      </c>
      <c r="F31" s="28" t="s">
        <v>68</v>
      </c>
      <c r="G31" s="28" t="s">
        <v>69</v>
      </c>
      <c r="H31" s="29" t="s">
        <v>70</v>
      </c>
      <c r="I31" s="28">
        <v>64</v>
      </c>
      <c r="J31" s="28" t="s">
        <v>71</v>
      </c>
      <c r="K31" s="28">
        <v>88</v>
      </c>
      <c r="L31" s="28" t="s">
        <v>71</v>
      </c>
      <c r="M31" s="28">
        <v>31</v>
      </c>
      <c r="N31" s="28" t="s">
        <v>71</v>
      </c>
      <c r="O31" s="28">
        <v>2000</v>
      </c>
      <c r="P31" s="28" t="s">
        <v>72</v>
      </c>
      <c r="Q31" s="28" t="s">
        <v>73</v>
      </c>
      <c r="R31" s="28" t="s">
        <v>73</v>
      </c>
      <c r="S31" s="28" t="s">
        <v>73</v>
      </c>
      <c r="T31" s="28" t="s">
        <v>73</v>
      </c>
      <c r="U31" s="28" t="s">
        <v>73</v>
      </c>
      <c r="V31" s="28" t="s">
        <v>73</v>
      </c>
      <c r="W31" s="28" t="s">
        <v>73</v>
      </c>
      <c r="X31" s="28" t="s">
        <v>73</v>
      </c>
      <c r="Y31" s="28" t="s">
        <v>73</v>
      </c>
      <c r="Z31" s="28" t="s">
        <v>73</v>
      </c>
      <c r="AA31" s="28" t="s">
        <v>73</v>
      </c>
      <c r="AB31" s="28" t="s">
        <v>73</v>
      </c>
      <c r="AC31" s="28" t="s">
        <v>73</v>
      </c>
      <c r="AD31" s="28" t="s">
        <v>73</v>
      </c>
    </row>
    <row r="32" hidden="1" spans="1:33">
      <c r="A32" s="28" t="s">
        <v>170</v>
      </c>
      <c r="B32" s="28" t="s">
        <v>171</v>
      </c>
      <c r="C32" s="28" t="s">
        <v>65</v>
      </c>
      <c r="D32" s="28" t="s">
        <v>66</v>
      </c>
      <c r="E32" s="28" t="s">
        <v>76</v>
      </c>
      <c r="F32" s="28" t="s">
        <v>68</v>
      </c>
      <c r="G32" s="28" t="s">
        <v>100</v>
      </c>
      <c r="H32" s="29" t="s">
        <v>101</v>
      </c>
      <c r="I32" s="28">
        <v>69</v>
      </c>
      <c r="J32" s="28" t="s">
        <v>71</v>
      </c>
      <c r="K32" s="28">
        <v>110</v>
      </c>
      <c r="L32" s="28" t="s">
        <v>71</v>
      </c>
      <c r="M32" s="28">
        <v>52</v>
      </c>
      <c r="N32" s="28" t="s">
        <v>71</v>
      </c>
      <c r="O32" s="28">
        <v>1900</v>
      </c>
      <c r="P32" s="28" t="s">
        <v>72</v>
      </c>
      <c r="Q32" s="28" t="s">
        <v>73</v>
      </c>
      <c r="R32" s="28" t="s">
        <v>73</v>
      </c>
      <c r="S32" s="28" t="s">
        <v>73</v>
      </c>
      <c r="T32" s="28" t="s">
        <v>73</v>
      </c>
      <c r="U32" s="28" t="s">
        <v>73</v>
      </c>
      <c r="V32" s="28" t="s">
        <v>73</v>
      </c>
      <c r="W32" s="28" t="s">
        <v>83</v>
      </c>
      <c r="X32" s="28" t="s">
        <v>79</v>
      </c>
      <c r="Y32" s="28">
        <v>0</v>
      </c>
      <c r="Z32" s="28" t="s">
        <v>66</v>
      </c>
      <c r="AA32" s="28">
        <v>3</v>
      </c>
      <c r="AB32" s="28" t="s">
        <v>68</v>
      </c>
      <c r="AC32" s="28">
        <v>0</v>
      </c>
      <c r="AD32" s="28" t="s">
        <v>103</v>
      </c>
    </row>
    <row r="33" hidden="1" spans="1:33">
      <c r="A33" s="28" t="s">
        <v>172</v>
      </c>
      <c r="B33" s="28" t="s">
        <v>173</v>
      </c>
      <c r="C33" s="28" t="s">
        <v>65</v>
      </c>
      <c r="D33" s="28" t="s">
        <v>66</v>
      </c>
      <c r="E33" s="28" t="s">
        <v>174</v>
      </c>
      <c r="F33" s="28" t="s">
        <v>68</v>
      </c>
      <c r="G33" s="28" t="s">
        <v>77</v>
      </c>
      <c r="H33" s="29" t="s">
        <v>78</v>
      </c>
      <c r="I33" s="28">
        <v>71</v>
      </c>
      <c r="J33" s="28" t="s">
        <v>71</v>
      </c>
      <c r="K33" s="28">
        <v>160</v>
      </c>
      <c r="L33" s="28" t="s">
        <v>71</v>
      </c>
      <c r="M33" s="28">
        <v>32</v>
      </c>
      <c r="N33" s="28" t="s">
        <v>71</v>
      </c>
      <c r="O33" s="28">
        <v>2050</v>
      </c>
      <c r="P33" s="28" t="s">
        <v>72</v>
      </c>
      <c r="Q33" s="28">
        <v>20</v>
      </c>
      <c r="R33" s="28" t="s">
        <v>79</v>
      </c>
      <c r="S33" s="28">
        <v>3</v>
      </c>
      <c r="T33" s="28" t="s">
        <v>66</v>
      </c>
      <c r="U33" s="28">
        <v>55</v>
      </c>
      <c r="V33" s="28" t="s">
        <v>68</v>
      </c>
      <c r="W33" s="28" t="s">
        <v>73</v>
      </c>
      <c r="X33" s="28" t="s">
        <v>73</v>
      </c>
      <c r="Y33" s="28" t="s">
        <v>73</v>
      </c>
      <c r="Z33" s="28" t="s">
        <v>73</v>
      </c>
      <c r="AA33" s="28" t="s">
        <v>73</v>
      </c>
      <c r="AB33" s="28" t="s">
        <v>73</v>
      </c>
      <c r="AC33" s="28" t="s">
        <v>73</v>
      </c>
      <c r="AD33" s="28" t="s">
        <v>73</v>
      </c>
    </row>
    <row r="34" hidden="1" spans="1:33">
      <c r="A34" s="28" t="s">
        <v>172</v>
      </c>
      <c r="B34" s="28" t="s">
        <v>175</v>
      </c>
      <c r="C34" s="28" t="s">
        <v>95</v>
      </c>
      <c r="D34" s="28" t="s">
        <v>66</v>
      </c>
      <c r="E34" s="28">
        <v>0</v>
      </c>
      <c r="F34" s="28" t="s">
        <v>68</v>
      </c>
      <c r="G34" s="28" t="s">
        <v>77</v>
      </c>
      <c r="H34" s="29" t="s">
        <v>78</v>
      </c>
      <c r="I34" s="28">
        <v>71</v>
      </c>
      <c r="J34" s="28" t="s">
        <v>71</v>
      </c>
      <c r="K34" s="28">
        <v>136</v>
      </c>
      <c r="L34" s="28" t="s">
        <v>71</v>
      </c>
      <c r="M34" s="28">
        <v>33</v>
      </c>
      <c r="N34" s="28" t="s">
        <v>71</v>
      </c>
      <c r="O34" s="28">
        <v>2035</v>
      </c>
      <c r="P34" s="28" t="s">
        <v>72</v>
      </c>
      <c r="Q34" s="28">
        <v>6</v>
      </c>
      <c r="R34" s="28" t="s">
        <v>79</v>
      </c>
      <c r="S34" s="28">
        <v>1</v>
      </c>
      <c r="T34" s="28" t="s">
        <v>66</v>
      </c>
      <c r="U34" s="28">
        <v>3</v>
      </c>
      <c r="V34" s="28" t="s">
        <v>68</v>
      </c>
      <c r="W34" s="28" t="s">
        <v>73</v>
      </c>
      <c r="X34" s="28" t="s">
        <v>73</v>
      </c>
      <c r="Y34" s="28" t="s">
        <v>73</v>
      </c>
      <c r="Z34" s="28" t="s">
        <v>73</v>
      </c>
      <c r="AA34" s="28" t="s">
        <v>73</v>
      </c>
      <c r="AB34" s="28" t="s">
        <v>73</v>
      </c>
      <c r="AC34" s="28" t="s">
        <v>73</v>
      </c>
      <c r="AD34" s="28" t="s">
        <v>73</v>
      </c>
    </row>
    <row r="35" s="19" customFormat="1" ht="118" customHeight="1" spans="1:33">
      <c r="A35" s="33" t="s">
        <v>172</v>
      </c>
      <c r="B35" s="33" t="s">
        <v>176</v>
      </c>
      <c r="C35" s="33" t="s">
        <v>65</v>
      </c>
      <c r="D35" s="33" t="s">
        <v>66</v>
      </c>
      <c r="E35" s="33" t="s">
        <v>162</v>
      </c>
      <c r="F35" s="33" t="s">
        <v>68</v>
      </c>
      <c r="G35" s="33" t="s">
        <v>100</v>
      </c>
      <c r="H35" s="35" t="s">
        <v>101</v>
      </c>
      <c r="I35" s="33">
        <v>77</v>
      </c>
      <c r="J35" s="33" t="s">
        <v>71</v>
      </c>
      <c r="K35" s="33">
        <v>157</v>
      </c>
      <c r="L35" s="33" t="s">
        <v>71</v>
      </c>
      <c r="M35" s="33">
        <v>35</v>
      </c>
      <c r="N35" s="33" t="s">
        <v>71</v>
      </c>
      <c r="O35" s="33">
        <v>1850</v>
      </c>
      <c r="P35" s="33" t="s">
        <v>72</v>
      </c>
      <c r="Q35" s="33" t="s">
        <v>73</v>
      </c>
      <c r="R35" s="33" t="s">
        <v>73</v>
      </c>
      <c r="S35" s="33" t="s">
        <v>73</v>
      </c>
      <c r="T35" s="33" t="s">
        <v>73</v>
      </c>
      <c r="U35" s="33" t="s">
        <v>73</v>
      </c>
      <c r="V35" s="33" t="s">
        <v>73</v>
      </c>
      <c r="W35" s="33">
        <v>31</v>
      </c>
      <c r="X35" s="33" t="s">
        <v>79</v>
      </c>
      <c r="Y35" s="33">
        <v>6</v>
      </c>
      <c r="Z35" s="33" t="s">
        <v>66</v>
      </c>
      <c r="AA35" s="33">
        <v>23</v>
      </c>
      <c r="AB35" s="33" t="s">
        <v>68</v>
      </c>
      <c r="AC35" s="33">
        <v>0</v>
      </c>
      <c r="AD35" s="33" t="s">
        <v>103</v>
      </c>
      <c r="AE35" s="19" t="s">
        <v>177</v>
      </c>
      <c r="AG35" s="19" t="s">
        <v>178</v>
      </c>
    </row>
    <row r="36" hidden="1" spans="1:33">
      <c r="A36" s="28" t="s">
        <v>172</v>
      </c>
      <c r="B36" s="28" t="s">
        <v>179</v>
      </c>
      <c r="C36" s="28" t="s">
        <v>95</v>
      </c>
      <c r="D36" s="28" t="s">
        <v>66</v>
      </c>
      <c r="E36" s="28" t="s">
        <v>135</v>
      </c>
      <c r="F36" s="28" t="s">
        <v>68</v>
      </c>
      <c r="G36" s="28" t="s">
        <v>69</v>
      </c>
      <c r="H36" s="29" t="s">
        <v>70</v>
      </c>
      <c r="I36" s="28">
        <v>72</v>
      </c>
      <c r="J36" s="28" t="s">
        <v>71</v>
      </c>
      <c r="K36" s="28">
        <v>130</v>
      </c>
      <c r="L36" s="28" t="s">
        <v>71</v>
      </c>
      <c r="M36" s="28">
        <v>35</v>
      </c>
      <c r="N36" s="28" t="s">
        <v>71</v>
      </c>
      <c r="O36" s="28">
        <v>2080</v>
      </c>
      <c r="P36" s="28" t="s">
        <v>72</v>
      </c>
      <c r="Q36" s="28" t="s">
        <v>73</v>
      </c>
      <c r="R36" s="28" t="s">
        <v>73</v>
      </c>
      <c r="S36" s="28" t="s">
        <v>73</v>
      </c>
      <c r="T36" s="28" t="s">
        <v>73</v>
      </c>
      <c r="U36" s="28" t="s">
        <v>73</v>
      </c>
      <c r="V36" s="28" t="s">
        <v>73</v>
      </c>
      <c r="W36" s="28" t="s">
        <v>73</v>
      </c>
      <c r="X36" s="28" t="s">
        <v>73</v>
      </c>
      <c r="Y36" s="28" t="s">
        <v>73</v>
      </c>
      <c r="Z36" s="28" t="s">
        <v>73</v>
      </c>
      <c r="AA36" s="28" t="s">
        <v>73</v>
      </c>
      <c r="AB36" s="28" t="s">
        <v>73</v>
      </c>
      <c r="AC36" s="28" t="s">
        <v>73</v>
      </c>
      <c r="AD36" s="28" t="s">
        <v>73</v>
      </c>
    </row>
    <row r="37" hidden="1" spans="1:33">
      <c r="A37" s="28" t="s">
        <v>180</v>
      </c>
      <c r="B37" s="28" t="s">
        <v>181</v>
      </c>
      <c r="C37" s="28" t="s">
        <v>95</v>
      </c>
      <c r="D37" s="28" t="s">
        <v>66</v>
      </c>
      <c r="E37" s="28" t="s">
        <v>135</v>
      </c>
      <c r="F37" s="28" t="s">
        <v>68</v>
      </c>
      <c r="G37" s="28" t="s">
        <v>69</v>
      </c>
      <c r="H37" s="29" t="s">
        <v>70</v>
      </c>
      <c r="I37" s="28">
        <v>80</v>
      </c>
      <c r="J37" s="28" t="s">
        <v>71</v>
      </c>
      <c r="K37" s="28">
        <v>129</v>
      </c>
      <c r="L37" s="28" t="s">
        <v>71</v>
      </c>
      <c r="M37" s="28">
        <v>44</v>
      </c>
      <c r="N37" s="28" t="s">
        <v>71</v>
      </c>
      <c r="O37" s="28">
        <v>1545</v>
      </c>
      <c r="P37" s="28" t="s">
        <v>72</v>
      </c>
      <c r="Q37" s="28" t="s">
        <v>73</v>
      </c>
      <c r="R37" s="28" t="s">
        <v>73</v>
      </c>
      <c r="S37" s="28" t="s">
        <v>73</v>
      </c>
      <c r="T37" s="28" t="s">
        <v>73</v>
      </c>
      <c r="U37" s="28" t="s">
        <v>73</v>
      </c>
      <c r="V37" s="28" t="s">
        <v>73</v>
      </c>
      <c r="W37" s="28" t="s">
        <v>73</v>
      </c>
      <c r="X37" s="28" t="s">
        <v>73</v>
      </c>
      <c r="Y37" s="28" t="s">
        <v>73</v>
      </c>
      <c r="Z37" s="28" t="s">
        <v>73</v>
      </c>
      <c r="AA37" s="28" t="s">
        <v>73</v>
      </c>
      <c r="AB37" s="28" t="s">
        <v>73</v>
      </c>
      <c r="AC37" s="28" t="s">
        <v>73</v>
      </c>
      <c r="AD37" s="28" t="s">
        <v>73</v>
      </c>
    </row>
    <row r="38" s="21" customFormat="1" ht="154" spans="1:33">
      <c r="A38" s="41" t="s">
        <v>182</v>
      </c>
      <c r="B38" s="41" t="s">
        <v>183</v>
      </c>
      <c r="C38" s="41" t="s">
        <v>65</v>
      </c>
      <c r="D38" s="41" t="s">
        <v>66</v>
      </c>
      <c r="E38" s="41" t="s">
        <v>167</v>
      </c>
      <c r="F38" s="41" t="s">
        <v>68</v>
      </c>
      <c r="G38" s="41" t="s">
        <v>100</v>
      </c>
      <c r="H38" s="42" t="s">
        <v>101</v>
      </c>
      <c r="I38" s="41">
        <v>59</v>
      </c>
      <c r="J38" s="41" t="s">
        <v>71</v>
      </c>
      <c r="K38" s="41">
        <v>126</v>
      </c>
      <c r="L38" s="41" t="s">
        <v>71</v>
      </c>
      <c r="M38" s="41">
        <v>41</v>
      </c>
      <c r="N38" s="41" t="s">
        <v>71</v>
      </c>
      <c r="O38" s="41">
        <v>2850</v>
      </c>
      <c r="P38" s="41" t="s">
        <v>72</v>
      </c>
      <c r="Q38" s="41" t="s">
        <v>73</v>
      </c>
      <c r="R38" s="41" t="s">
        <v>73</v>
      </c>
      <c r="S38" s="41" t="s">
        <v>73</v>
      </c>
      <c r="T38" s="41" t="s">
        <v>73</v>
      </c>
      <c r="U38" s="41" t="s">
        <v>73</v>
      </c>
      <c r="V38" s="41" t="s">
        <v>73</v>
      </c>
      <c r="W38" s="41" t="s">
        <v>102</v>
      </c>
      <c r="X38" s="41" t="s">
        <v>79</v>
      </c>
      <c r="Y38" s="41">
        <v>0</v>
      </c>
      <c r="Z38" s="41" t="s">
        <v>66</v>
      </c>
      <c r="AA38" s="43">
        <v>0</v>
      </c>
      <c r="AB38" s="41" t="s">
        <v>68</v>
      </c>
      <c r="AC38" s="41">
        <v>0</v>
      </c>
      <c r="AD38" s="41" t="s">
        <v>103</v>
      </c>
      <c r="AE38" s="44" t="s">
        <v>184</v>
      </c>
      <c r="AF38" s="21" t="s">
        <v>185</v>
      </c>
      <c r="AG38" s="21" t="s">
        <v>186</v>
      </c>
    </row>
    <row r="39" ht="28" hidden="1" spans="1:33">
      <c r="A39" s="28" t="s">
        <v>182</v>
      </c>
      <c r="B39" s="28" t="s">
        <v>187</v>
      </c>
      <c r="C39" s="28" t="s">
        <v>65</v>
      </c>
      <c r="D39" s="28" t="s">
        <v>66</v>
      </c>
      <c r="E39" s="28" t="s">
        <v>188</v>
      </c>
      <c r="F39" s="28" t="s">
        <v>68</v>
      </c>
      <c r="G39" s="28" t="s">
        <v>100</v>
      </c>
      <c r="H39" s="29" t="s">
        <v>101</v>
      </c>
      <c r="I39" s="28">
        <v>78</v>
      </c>
      <c r="J39" s="28" t="s">
        <v>71</v>
      </c>
      <c r="K39" s="28">
        <v>136</v>
      </c>
      <c r="L39" s="28" t="s">
        <v>71</v>
      </c>
      <c r="M39" s="28">
        <v>38</v>
      </c>
      <c r="N39" s="28" t="s">
        <v>71</v>
      </c>
      <c r="O39" s="28">
        <v>1810</v>
      </c>
      <c r="P39" s="28" t="s">
        <v>72</v>
      </c>
      <c r="Q39" s="28" t="s">
        <v>73</v>
      </c>
      <c r="R39" s="28" t="s">
        <v>73</v>
      </c>
      <c r="S39" s="28" t="s">
        <v>73</v>
      </c>
      <c r="T39" s="28" t="s">
        <v>73</v>
      </c>
      <c r="U39" s="28" t="s">
        <v>73</v>
      </c>
      <c r="V39" s="28" t="s">
        <v>73</v>
      </c>
      <c r="W39" s="28" t="s">
        <v>102</v>
      </c>
      <c r="X39" s="28" t="s">
        <v>79</v>
      </c>
      <c r="Y39" s="28">
        <v>0</v>
      </c>
      <c r="Z39" s="28" t="s">
        <v>66</v>
      </c>
      <c r="AA39" s="28">
        <v>14</v>
      </c>
      <c r="AB39" s="28" t="s">
        <v>68</v>
      </c>
      <c r="AC39" s="28">
        <v>0</v>
      </c>
      <c r="AD39" s="28" t="s">
        <v>103</v>
      </c>
    </row>
    <row r="40" hidden="1" spans="1:33">
      <c r="A40" s="28" t="s">
        <v>189</v>
      </c>
      <c r="B40" s="28" t="s">
        <v>190</v>
      </c>
      <c r="C40" s="28" t="s">
        <v>65</v>
      </c>
      <c r="D40" s="28" t="s">
        <v>66</v>
      </c>
      <c r="E40" s="28" t="s">
        <v>191</v>
      </c>
      <c r="F40" s="28" t="s">
        <v>68</v>
      </c>
      <c r="G40" s="28" t="s">
        <v>100</v>
      </c>
      <c r="H40" s="29" t="s">
        <v>101</v>
      </c>
      <c r="I40" s="28">
        <v>68</v>
      </c>
      <c r="J40" s="28" t="s">
        <v>71</v>
      </c>
      <c r="K40" s="28">
        <v>113</v>
      </c>
      <c r="L40" s="28" t="s">
        <v>71</v>
      </c>
      <c r="M40" s="28">
        <v>37</v>
      </c>
      <c r="N40" s="28" t="s">
        <v>71</v>
      </c>
      <c r="O40" s="28">
        <v>1905</v>
      </c>
      <c r="P40" s="28" t="s">
        <v>72</v>
      </c>
      <c r="Q40" s="28" t="s">
        <v>73</v>
      </c>
      <c r="R40" s="28" t="s">
        <v>73</v>
      </c>
      <c r="S40" s="28" t="s">
        <v>73</v>
      </c>
      <c r="T40" s="28" t="s">
        <v>73</v>
      </c>
      <c r="U40" s="28" t="s">
        <v>73</v>
      </c>
      <c r="V40" s="28" t="s">
        <v>73</v>
      </c>
      <c r="W40" s="28">
        <v>100</v>
      </c>
      <c r="X40" s="28" t="s">
        <v>79</v>
      </c>
      <c r="Y40" s="28">
        <v>24</v>
      </c>
      <c r="Z40" s="28" t="s">
        <v>66</v>
      </c>
      <c r="AA40" s="28">
        <v>11</v>
      </c>
      <c r="AB40" s="28" t="s">
        <v>68</v>
      </c>
      <c r="AC40" s="28">
        <v>0</v>
      </c>
      <c r="AD40" s="28" t="s">
        <v>103</v>
      </c>
    </row>
    <row r="41" hidden="1" spans="1:33">
      <c r="A41" s="28" t="s">
        <v>192</v>
      </c>
      <c r="B41" s="28" t="s">
        <v>193</v>
      </c>
      <c r="C41" s="28" t="s">
        <v>95</v>
      </c>
      <c r="D41" s="28" t="s">
        <v>66</v>
      </c>
      <c r="E41" s="28" t="s">
        <v>129</v>
      </c>
      <c r="F41" s="28" t="s">
        <v>68</v>
      </c>
      <c r="G41" s="28" t="s">
        <v>69</v>
      </c>
      <c r="H41" s="29" t="s">
        <v>70</v>
      </c>
      <c r="I41" s="28">
        <v>88</v>
      </c>
      <c r="J41" s="28" t="s">
        <v>71</v>
      </c>
      <c r="K41" s="28">
        <v>107</v>
      </c>
      <c r="L41" s="28" t="s">
        <v>71</v>
      </c>
      <c r="M41" s="28">
        <v>59</v>
      </c>
      <c r="N41" s="28" t="s">
        <v>71</v>
      </c>
      <c r="O41" s="28">
        <v>1140</v>
      </c>
      <c r="P41" s="28" t="s">
        <v>72</v>
      </c>
      <c r="Q41" s="28" t="s">
        <v>73</v>
      </c>
      <c r="R41" s="28" t="s">
        <v>73</v>
      </c>
      <c r="S41" s="28" t="s">
        <v>73</v>
      </c>
      <c r="T41" s="28" t="s">
        <v>73</v>
      </c>
      <c r="U41" s="28" t="s">
        <v>73</v>
      </c>
      <c r="V41" s="28" t="s">
        <v>73</v>
      </c>
      <c r="W41" s="28" t="s">
        <v>73</v>
      </c>
      <c r="X41" s="28" t="s">
        <v>73</v>
      </c>
      <c r="Y41" s="28" t="s">
        <v>73</v>
      </c>
      <c r="Z41" s="28" t="s">
        <v>73</v>
      </c>
      <c r="AA41" s="28" t="s">
        <v>73</v>
      </c>
      <c r="AB41" s="28" t="s">
        <v>73</v>
      </c>
      <c r="AC41" s="28" t="s">
        <v>73</v>
      </c>
      <c r="AD41" s="28" t="s">
        <v>73</v>
      </c>
    </row>
    <row r="42" hidden="1" spans="1:33">
      <c r="A42" s="28" t="s">
        <v>194</v>
      </c>
      <c r="B42" s="28" t="s">
        <v>195</v>
      </c>
      <c r="C42" s="28" t="s">
        <v>108</v>
      </c>
      <c r="D42" s="28" t="s">
        <v>66</v>
      </c>
      <c r="E42" s="28" t="s">
        <v>138</v>
      </c>
      <c r="F42" s="28" t="s">
        <v>68</v>
      </c>
      <c r="G42" s="28" t="s">
        <v>100</v>
      </c>
      <c r="H42" s="29" t="s">
        <v>101</v>
      </c>
      <c r="I42" s="28">
        <v>83</v>
      </c>
      <c r="J42" s="28" t="s">
        <v>71</v>
      </c>
      <c r="K42" s="28">
        <v>155</v>
      </c>
      <c r="L42" s="28" t="s">
        <v>71</v>
      </c>
      <c r="M42" s="28">
        <v>53</v>
      </c>
      <c r="N42" s="28" t="s">
        <v>71</v>
      </c>
      <c r="O42" s="28">
        <v>1450</v>
      </c>
      <c r="P42" s="28" t="s">
        <v>72</v>
      </c>
      <c r="Q42" s="28" t="s">
        <v>73</v>
      </c>
      <c r="R42" s="28" t="s">
        <v>73</v>
      </c>
      <c r="S42" s="28" t="s">
        <v>73</v>
      </c>
      <c r="T42" s="28" t="s">
        <v>73</v>
      </c>
      <c r="U42" s="28" t="s">
        <v>73</v>
      </c>
      <c r="V42" s="28" t="s">
        <v>73</v>
      </c>
      <c r="W42" s="28" t="s">
        <v>83</v>
      </c>
      <c r="X42" s="28" t="s">
        <v>79</v>
      </c>
      <c r="Y42" s="28">
        <v>0</v>
      </c>
      <c r="Z42" s="28" t="s">
        <v>66</v>
      </c>
      <c r="AA42" s="28">
        <v>1</v>
      </c>
      <c r="AB42" s="28" t="s">
        <v>68</v>
      </c>
      <c r="AC42" s="28">
        <v>0</v>
      </c>
      <c r="AD42" s="28" t="s">
        <v>103</v>
      </c>
    </row>
  </sheetData>
  <autoFilter xmlns:etc="http://www.wps.cn/officeDocument/2017/etCustomData" ref="A2:AI42" etc:filterBottomFollowUsedRange="0">
    <filterColumn colId="30">
      <filters>
        <filter val="ID=01023 dt=2026-05-16 07:20&#10;来源: 01023_2026年05月16日 07时20分28秒.pdf&#10;[G列差异] 检查结果(G): PDF判定=[1] vs Excel=/ ——Excel该格为旧版占位符&quot;/&quot;(未填写), 按报告应判定为[1], 属录入漏填&#10;PDF结论: 平均心率63 bpm，总心搏数 94695次.最慢心率53 bpm，发生于05-16 21:30.最快心率114 bpm，发生于05-17 06:54。大于2000 ms的长R-R间期共0次，最长R-R间期1220 ms，发生于05-16 18:58。结论:1、基础心律不明，不排除心房颤动,起搏器植入者，考虑为CCM装置。2、房性早搏，短阵房性心动过速(房早共3149次，其中单发2226次，其中成"/>
        <filter val="ID=周淑兰 dt=2026-05-10 14:16&#10;来源: 周淑兰_2026年05月10日 14时16分13秒.pdf&#10;[持续时间差异] 房速持续(分): PDF=14 vs Excel=0 ——该报告G=[3]且房速最长持续14分(≥30s)符合【3】规则应纳入计算, 房速持续(分)应填 14分(0h14m0s), 不应为0&#10;PDF结论: 平均心率59 bpm，总心搏数 85123次.最慢心率41 bpm，发生于05-11 11:09.最快心率126 bpm，发生于05-11 12:34。大于2000 ms的长R-R间期共6次，最长R-R间期2850 ms，发生于05-11 11:50。结论:1、窦性心律+异位心律2、阵发性室上性心动过速，呈突发突止，终止时致大于2000 ms的长R-R间期，共6次，最长R-R间期2850 ms(室"/>
        <filter val="房颤、房扑均有"/>
        <filter val="窦律"/>
        <filter val="ID=01023 dt=2026-07-23 20:35&#10;来源: 01023_2026年07月23日 20时35分13秒.pdf&#10;[G列差异] 检查结果(G): PDF判定=[1] vs Excel=/ ——Excel该格为旧版占位符&quot;/&quot;(未填写), 按报告应判定为[1], 属录入漏填&#10;PDF结论: 平均心率62 bpm，总心搏数 91314次.最慢心率53 bpm，发生于07-24 08:28.最快心率117 bpm，发生于07-24 08:27。大于2000 ms的长R-R间期共0次，最长R-R间期1230 ms，发生于07-24 09:19。结论:1、起搏心电图2、房性早搏，短阵房性心动过速(房早共426次，其中单发330次，其中成对25组，房性二联律2阵，房性三联律4阵，短阵房速9阵，"/>
        <filter val="只有房颤，无[ 3 ]"/>
        <filter val="规则房性心动过速&#10;这里是≥30s房速"/>
        <filter val="这里应该判断为窦律？"/>
      </filters>
    </filterColumn>
    <extLst/>
  </autoFilter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4" sqref="C4"/>
    </sheetView>
  </sheetViews>
  <sheetFormatPr defaultColWidth="8.66666666666667" defaultRowHeight="14" outlineLevelRow="5" outlineLevelCol="3"/>
  <cols>
    <col min="1" max="1" width="10.5" style="8" customWidth="1"/>
    <col min="2" max="2" width="42.8333333333333" style="8" customWidth="1"/>
    <col min="3" max="3" width="63.5" style="8" customWidth="1"/>
    <col min="4" max="4" width="48.5" style="8" customWidth="1"/>
    <col min="5" max="16384" width="8.66666666666667" style="8" customWidth="1"/>
  </cols>
  <sheetData>
    <row r="1" ht="31" customHeight="1" spans="1:4">
      <c r="A1" s="9" t="s">
        <v>196</v>
      </c>
      <c r="B1" s="9" t="s">
        <v>38</v>
      </c>
      <c r="C1" s="10" t="s">
        <v>197</v>
      </c>
      <c r="D1" s="11"/>
    </row>
    <row r="2" ht="16" customHeight="1" spans="1:4">
      <c r="A2" s="12"/>
      <c r="B2" s="12"/>
      <c r="C2" s="13" t="s">
        <v>198</v>
      </c>
      <c r="D2" s="13" t="s">
        <v>199</v>
      </c>
    </row>
    <row r="3" ht="71" customHeight="1" spans="1:4">
      <c r="A3" s="14"/>
      <c r="B3" s="14" t="s">
        <v>200</v>
      </c>
      <c r="C3" s="15" t="s">
        <v>201</v>
      </c>
      <c r="D3" s="14"/>
    </row>
    <row r="4" ht="71" customHeight="1" spans="1:4">
      <c r="A4" s="14" t="s">
        <v>202</v>
      </c>
      <c r="B4" s="14" t="s">
        <v>203</v>
      </c>
      <c r="C4" s="15" t="s">
        <v>204</v>
      </c>
      <c r="D4" s="14"/>
    </row>
    <row r="5" ht="71" customHeight="1" spans="1:4">
      <c r="A5" s="14"/>
      <c r="B5" s="14" t="s">
        <v>205</v>
      </c>
      <c r="C5" s="15" t="s">
        <v>206</v>
      </c>
      <c r="D5" s="14"/>
    </row>
    <row r="6" ht="73" customHeight="1" spans="1:4">
      <c r="C6" s="14" t="s">
        <v>207</v>
      </c>
      <c r="D6" s="14"/>
    </row>
  </sheetData>
  <mergeCells count="3">
    <mergeCell ref="C1:D1"/>
    <mergeCell ref="A1:A2"/>
    <mergeCell ref="B1:B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A1" sqref="A1"/>
    </sheetView>
  </sheetViews>
  <sheetFormatPr defaultColWidth="9" defaultRowHeight="14" outlineLevelCol="2"/>
  <cols>
    <col min="1" max="1" width="30" style="1" customWidth="1"/>
    <col min="2" max="2" width="50" style="1" customWidth="1"/>
    <col min="3" max="3" width="60" style="1" customWidth="1"/>
  </cols>
  <sheetData>
    <row r="1" ht="17.5" spans="1:3">
      <c r="A1" s="2" t="s">
        <v>208</v>
      </c>
    </row>
    <row r="2" spans="1:3">
      <c r="A2" s="3" t="s">
        <v>209</v>
      </c>
      <c r="B2" s="3" t="s">
        <v>210</v>
      </c>
    </row>
    <row r="3" spans="1:3">
      <c r="A3" s="4"/>
      <c r="B3" t="s">
        <v>211</v>
      </c>
    </row>
    <row r="4" spans="1:3">
      <c r="A4" s="5"/>
      <c r="B4" t="s">
        <v>212</v>
      </c>
    </row>
    <row r="5" spans="1:3">
      <c r="A5" s="6"/>
      <c r="B5" t="s">
        <v>213</v>
      </c>
    </row>
    <row r="7" spans="1:3">
      <c r="A7" s="3" t="s">
        <v>214</v>
      </c>
    </row>
    <row r="8" ht="140" spans="1:3">
      <c r="A8" s="7" t="s">
        <v>215</v>
      </c>
      <c r="B8" s="7" t="s">
        <v>216</v>
      </c>
      <c r="C8" s="7" t="s">
        <v>88</v>
      </c>
    </row>
    <row r="9" ht="140" spans="1:3">
      <c r="A9" s="7" t="s">
        <v>217</v>
      </c>
      <c r="B9" s="7" t="s">
        <v>218</v>
      </c>
      <c r="C9" s="7" t="s">
        <v>93</v>
      </c>
    </row>
    <row r="10" ht="154" spans="1:3">
      <c r="A10" s="7" t="s">
        <v>219</v>
      </c>
      <c r="B10" s="7" t="s">
        <v>184</v>
      </c>
      <c r="C10" s="7" t="s">
        <v>220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表头整理建议</vt:lpstr>
      <vt:lpstr>报告类型判定规则</vt:lpstr>
      <vt:lpstr>标注说明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Anhhh</cp:lastModifiedBy>
  <dcterms:created xsi:type="dcterms:W3CDTF">2026-07-15T05:54:00Z</dcterms:created>
  <dcterms:modified xsi:type="dcterms:W3CDTF">2026-08-19T09:17:12Z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4578E3BB0A1C4A19BD5E78C4C6792427_13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